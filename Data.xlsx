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etty/Desktop/R Data Analysis/Data Sharing/"/>
    </mc:Choice>
  </mc:AlternateContent>
  <xr:revisionPtr revIDLastSave="0" documentId="13_ncr:1_{C7FF948F-F5C2-164F-86D3-3019C38F3547}" xr6:coauthVersionLast="47" xr6:coauthVersionMax="47" xr10:uidLastSave="{00000000-0000-0000-0000-000000000000}"/>
  <bookViews>
    <workbookView xWindow="0" yWindow="760" windowWidth="30240" windowHeight="18880" xr2:uid="{1E52CB53-8592-9546-8E62-A9F418D09D16}"/>
  </bookViews>
  <sheets>
    <sheet name="Demographic" sheetId="4" r:id="rId1"/>
    <sheet name="Sleepiness" sheetId="1" r:id="rId2"/>
    <sheet name="KSS" sheetId="2" r:id="rId3"/>
    <sheet name="Drivingbehaviors" sheetId="7" r:id="rId4"/>
    <sheet name="Eyemovement_Events" sheetId="10" r:id="rId5"/>
    <sheet name="Eyemovement_Whole" sheetId="19" r:id="rId6"/>
  </sheets>
  <definedNames>
    <definedName name="_xlnm._FilterDatabase" localSheetId="3" hidden="1">Drivingbehaviors!$H$1:$H$685</definedName>
    <definedName name="_xlnm._FilterDatabase" localSheetId="4" hidden="1">Eyemovement_Events!$A$1:$V$685</definedName>
    <definedName name="_xlnm._FilterDatabase" localSheetId="2" hidden="1">KSS!$D$1:$D$223</definedName>
    <definedName name="_xlnm._FilterDatabase" localSheetId="1" hidden="1">Sleepiness!$A$1:$K$39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0" l="1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38" i="10"/>
  <c r="U39" i="10"/>
  <c r="U40" i="10"/>
  <c r="U41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70" i="10"/>
  <c r="U171" i="10"/>
  <c r="U172" i="10"/>
  <c r="U173" i="10"/>
  <c r="U174" i="10"/>
  <c r="U175" i="10"/>
  <c r="U176" i="10"/>
  <c r="U177" i="10"/>
  <c r="U178" i="10"/>
  <c r="U179" i="10"/>
  <c r="U180" i="10"/>
  <c r="U182" i="10"/>
  <c r="U183" i="10"/>
  <c r="U184" i="10"/>
  <c r="U187" i="10"/>
  <c r="U188" i="10"/>
  <c r="U189" i="10"/>
  <c r="U190" i="10"/>
  <c r="U191" i="10"/>
  <c r="U193" i="10"/>
  <c r="U194" i="10"/>
  <c r="U195" i="10"/>
  <c r="U196" i="10"/>
  <c r="U197" i="10"/>
  <c r="U198" i="10"/>
  <c r="U199" i="10"/>
  <c r="U200" i="10"/>
  <c r="U201" i="10"/>
  <c r="U202" i="10"/>
  <c r="U204" i="10"/>
  <c r="U205" i="10"/>
  <c r="U224" i="10"/>
  <c r="U225" i="10"/>
  <c r="U226" i="10"/>
  <c r="U227" i="10"/>
  <c r="U228" i="10"/>
  <c r="U229" i="10"/>
  <c r="U230" i="10"/>
  <c r="U231" i="10"/>
  <c r="U232" i="10"/>
  <c r="U233" i="10"/>
  <c r="U234" i="10"/>
  <c r="U236" i="10"/>
  <c r="U237" i="10"/>
  <c r="U238" i="10"/>
  <c r="U239" i="10"/>
  <c r="U240" i="10"/>
  <c r="U241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30" i="10"/>
  <c r="U331" i="10"/>
  <c r="U332" i="10"/>
  <c r="U333" i="10"/>
  <c r="U334" i="10"/>
  <c r="U335" i="10"/>
  <c r="U336" i="10"/>
  <c r="U337" i="10"/>
  <c r="U338" i="10"/>
  <c r="U339" i="10"/>
  <c r="U340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5" i="10"/>
  <c r="U356" i="10"/>
  <c r="U357" i="10"/>
  <c r="U358" i="10"/>
  <c r="U360" i="10"/>
  <c r="U361" i="10"/>
  <c r="U363" i="10"/>
  <c r="U364" i="10"/>
  <c r="U365" i="10"/>
  <c r="U366" i="10"/>
  <c r="U367" i="10"/>
  <c r="U368" i="10"/>
  <c r="U369" i="10"/>
  <c r="U370" i="10"/>
  <c r="U371" i="10"/>
  <c r="U373" i="10"/>
  <c r="U374" i="10"/>
  <c r="U375" i="10"/>
  <c r="U376" i="10"/>
  <c r="U377" i="10"/>
  <c r="U378" i="10"/>
  <c r="U379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6" i="10"/>
  <c r="U397" i="10"/>
  <c r="U399" i="10"/>
  <c r="U400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596" i="10"/>
  <c r="U597" i="10"/>
  <c r="U598" i="10"/>
  <c r="U599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42" i="10"/>
  <c r="U243" i="10"/>
  <c r="U244" i="10"/>
  <c r="U245" i="10"/>
  <c r="U247" i="10"/>
  <c r="U249" i="10"/>
  <c r="U250" i="10"/>
  <c r="U251" i="10"/>
  <c r="U252" i="10"/>
  <c r="U253" i="10"/>
  <c r="U254" i="10"/>
  <c r="U255" i="10"/>
  <c r="U256" i="10"/>
  <c r="U258" i="10"/>
  <c r="U259" i="10"/>
  <c r="U296" i="10"/>
  <c r="U297" i="10"/>
  <c r="U298" i="10"/>
  <c r="U299" i="10"/>
  <c r="U300" i="10"/>
  <c r="U301" i="10"/>
  <c r="U303" i="10"/>
  <c r="U304" i="10"/>
  <c r="U305" i="10"/>
  <c r="U306" i="10"/>
  <c r="U307" i="10"/>
  <c r="U308" i="10"/>
  <c r="U309" i="10"/>
  <c r="U310" i="10"/>
  <c r="U312" i="10"/>
  <c r="U313" i="10"/>
  <c r="U422" i="10"/>
  <c r="U423" i="10"/>
  <c r="U424" i="10"/>
  <c r="U425" i="10"/>
  <c r="U426" i="10"/>
  <c r="U427" i="10"/>
  <c r="U428" i="10"/>
  <c r="U429" i="10"/>
  <c r="U430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50" i="10"/>
  <c r="U451" i="10"/>
  <c r="U453" i="10"/>
  <c r="U454" i="10"/>
  <c r="U455" i="10"/>
  <c r="U456" i="10"/>
  <c r="U457" i="10"/>
  <c r="U458" i="10"/>
  <c r="U459" i="10"/>
  <c r="U460" i="10"/>
  <c r="U461" i="10"/>
  <c r="U463" i="10"/>
  <c r="U464" i="10"/>
  <c r="U465" i="10"/>
  <c r="U466" i="10"/>
  <c r="U467" i="10"/>
  <c r="U468" i="10"/>
  <c r="U469" i="10"/>
  <c r="U57" i="10"/>
  <c r="U58" i="10"/>
  <c r="U59" i="10"/>
  <c r="U60" i="10"/>
  <c r="U61" i="10"/>
  <c r="U470" i="10"/>
  <c r="U471" i="10"/>
  <c r="U472" i="10"/>
  <c r="U473" i="10"/>
  <c r="U474" i="10"/>
  <c r="U475" i="10"/>
  <c r="U476" i="10"/>
  <c r="U477" i="10"/>
  <c r="U478" i="10"/>
  <c r="U480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9" i="10"/>
  <c r="U530" i="10"/>
  <c r="U531" i="10"/>
  <c r="U532" i="10"/>
  <c r="U533" i="10"/>
  <c r="U535" i="10"/>
  <c r="U536" i="10"/>
  <c r="U537" i="10"/>
  <c r="U538" i="10"/>
  <c r="U540" i="10"/>
  <c r="U541" i="10"/>
  <c r="U542" i="10"/>
  <c r="U543" i="10"/>
  <c r="U544" i="10"/>
  <c r="U546" i="10"/>
  <c r="U547" i="10"/>
  <c r="U548" i="10"/>
  <c r="U549" i="10"/>
  <c r="U550" i="10"/>
  <c r="U551" i="10"/>
  <c r="U552" i="10"/>
  <c r="U553" i="10"/>
  <c r="U555" i="10"/>
  <c r="U556" i="10"/>
  <c r="U558" i="10"/>
  <c r="U559" i="10"/>
  <c r="U560" i="10"/>
  <c r="U561" i="10"/>
  <c r="U562" i="10"/>
  <c r="U563" i="10"/>
  <c r="U564" i="10"/>
  <c r="U565" i="10"/>
  <c r="U566" i="10"/>
  <c r="U567" i="10"/>
  <c r="U568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3" i="10"/>
  <c r="U644" i="10"/>
  <c r="U645" i="10"/>
  <c r="U646" i="10"/>
  <c r="U647" i="10"/>
  <c r="U648" i="10"/>
  <c r="U649" i="10"/>
  <c r="U650" i="10"/>
  <c r="U651" i="10"/>
  <c r="U652" i="10"/>
  <c r="U653" i="10"/>
  <c r="U655" i="10"/>
  <c r="U656" i="10"/>
  <c r="U657" i="10"/>
  <c r="U658" i="10"/>
  <c r="U659" i="10"/>
  <c r="U660" i="10"/>
  <c r="U661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1" i="10"/>
  <c r="U682" i="10"/>
  <c r="U683" i="10"/>
  <c r="U684" i="10"/>
  <c r="U685" i="10"/>
  <c r="U2" i="10"/>
  <c r="K39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tc={CE2CE132-8631-2340-8067-ECB5800C90E6}</author>
    <author>tc={87ADC59E-ABBA-1644-9193-AE35D03E1248}</author>
    <author>tc={E61DDCC7-F028-0343-BC2E-ED65C79A4DE6}</author>
    <author>tc={30159C24-3B5E-5142-898A-C3E8BD383B1D}</author>
    <author>Microsoft Office User</author>
    <author>tc={72051434-3255-7845-BDE2-68441B780F3B}</author>
    <author>tc={023204F2-B836-C241-8467-9C9334758113}</author>
  </authors>
  <commentList>
    <comment ref="N1" authorId="0" shapeId="0" xr:uid="{CE2CE132-8631-2340-8067-ECB5800C90E6}">
      <text>
        <t>[线程批注]
你的Excel版本可读取此线程批注; 但如果在更新版本的Excel中打开文件，则对批注所作的任何改动都将被删除。了解详细信息: https://go.microsoft.com/fwlink/?linkid=870924
注释:
    fromvisibletoobjects</t>
      </text>
    </comment>
    <comment ref="O1" authorId="1" shapeId="0" xr:uid="{87ADC59E-ABBA-1644-9193-AE35D03E1248}">
      <text>
        <t>[线程批注]
你的Excel版本可读取此线程批注; 但如果在更新版本的Excel中打开文件，则对批注所作的任何改动都将被删除。了解详细信息: https://go.microsoft.com/fwlink/?linkid=870924
注释:
    Manual只有brake一种
Auto有Accelerate，Brake， button三种
可以分开来讨论和统计
答复:
    fromvisibletoobjects</t>
      </text>
    </comment>
    <comment ref="P1" authorId="2" shapeId="0" xr:uid="{E61DDCC7-F028-0343-BC2E-ED65C79A4DE6}">
      <text>
        <t>[线程批注]
你的Excel版本可读取此线程批注; 但如果在更新版本的Excel中打开文件，则对批注所作的任何改动都将被删除。了解详细信息: https://go.microsoft.com/fwlink/?linkid=870924
注释:
    用中国的数据处理方式重新导出</t>
      </text>
    </comment>
    <comment ref="Q1" authorId="3" shapeId="0" xr:uid="{30159C24-3B5E-5142-898A-C3E8BD383B1D}">
      <text>
        <t>[线程批注]
你的Excel版本可读取此线程批注; 但如果在更新版本的Excel中打开文件，则对批注所作的任何改动都将被删除。了解详细信息: https://go.microsoft.com/fwlink/?linkid=870924
注释:
    用中国数据的处理方式重新导出的</t>
      </text>
    </comment>
    <comment ref="R1" authorId="4" shapeId="0" xr:uid="{2C77A913-717C-1441-8670-4D5302E144FB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通过视频一个一个看的</t>
        </r>
      </text>
    </comment>
    <comment ref="S1" authorId="5" shapeId="0" xr:uid="{72051434-3255-7845-BDE2-68441B780F3B}">
      <text>
        <t>[线程批注]
你的Excel版本可读取此线程批注; 但如果在更新版本的Excel中打开文件，则对批注所作的任何改动都将被删除。了解详细信息: https://go.microsoft.com/fwlink/?linkid=870924
注释:
    本车按照自己写的导出数据，距离再减去64.2m
危险按照新导出的CoPosition
计算出来的结果</t>
      </text>
    </comment>
    <comment ref="S187" authorId="6" shapeId="0" xr:uid="{023204F2-B836-C241-8467-9C9334758113}">
      <text>
        <t>[线程批注]
你的Excel版本可读取此线程批注; 但如果在更新版本的Excel中打开文件，则对批注所作的任何改动都将被删除。了解详细信息: https://go.microsoft.com/fwlink/?linkid=870924
注释:
    目前是第一次松油门值变小的点，算出来是6.90489539，但是分类中松油门不知道能不能算反应，因为这样的话manual都要重新处理，所以暂时处理为无反应</t>
      </text>
    </comment>
    <comment ref="S289" authorId="4" shapeId="0" xr:uid="{FDB9AD98-6CE1-4248-87BD-9DB6DAFF5267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计算出来程序开始为</t>
        </r>
        <r>
          <rPr>
            <sz val="10"/>
            <color rgb="FF000000"/>
            <rFont val="Microsoft YaHei UI"/>
            <charset val="1"/>
          </rPr>
          <t>1:01:51.686</t>
        </r>
        <r>
          <rPr>
            <sz val="10"/>
            <color rgb="FF000000"/>
            <rFont val="Microsoft YaHei UI"/>
            <charset val="1"/>
          </rPr>
          <t>，开始明显转向为</t>
        </r>
        <r>
          <rPr>
            <sz val="10"/>
            <color rgb="FF000000"/>
            <rFont val="Microsoft YaHei UI"/>
            <charset val="1"/>
          </rPr>
          <t>1:19:59.771</t>
        </r>
        <r>
          <rPr>
            <sz val="10"/>
            <color rgb="FF000000"/>
            <rFont val="Microsoft YaHei UI"/>
            <charset val="1"/>
          </rPr>
          <t>，计算出来开始反应的时间为</t>
        </r>
        <r>
          <rPr>
            <sz val="10"/>
            <color rgb="FF000000"/>
            <rFont val="Microsoft YaHei UI"/>
            <charset val="1"/>
          </rPr>
          <t>1088.085s</t>
        </r>
        <r>
          <rPr>
            <sz val="10"/>
            <color rgb="FF000000"/>
            <rFont val="Microsoft YaHei UI"/>
            <charset val="1"/>
          </rPr>
          <t>，计算得到</t>
        </r>
        <r>
          <rPr>
            <sz val="10"/>
            <color rgb="FF000000"/>
            <rFont val="Microsoft YaHei UI"/>
            <charset val="1"/>
          </rPr>
          <t>ttc</t>
        </r>
        <r>
          <rPr>
            <sz val="10"/>
            <color rgb="FF000000"/>
            <rFont val="Microsoft YaHei UI"/>
            <charset val="1"/>
          </rPr>
          <t>为</t>
        </r>
        <r>
          <rPr>
            <sz val="10"/>
            <color rgb="FF000000"/>
            <rFont val="等线"/>
            <family val="4"/>
            <charset val="134"/>
          </rPr>
          <t xml:space="preserve">3.706936508 </t>
        </r>
        <r>
          <rPr>
            <sz val="10"/>
            <color rgb="FF000000"/>
            <rFont val="Microsoft YaHei UI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tc={B2F76C59-B24E-C440-8937-AAFC2B7B2564}</author>
    <author>tc={52C78237-68D4-324E-8D0F-072A0730307E}</author>
    <author>tc={1091DB35-884A-C745-BFB8-3AA661D562C2}</author>
    <author>tc={64DC5577-83A5-C241-A605-389EBA5085C6}</author>
    <author>tc={F3FAAB20-7E0F-2C4F-A7F1-F60706522D21}</author>
    <author>Microsoft Office User</author>
  </authors>
  <commentList>
    <comment ref="J1" authorId="0" shapeId="0" xr:uid="{B2F76C59-B24E-C440-8937-AAFC2B7B2564}">
      <text>
        <t>[线程批注]
你的Excel版本可读取此线程批注; 但如果在更新版本的Excel中打开文件，则对批注所作的任何改动都将被删除。了解详细信息: https://go.microsoft.com/fwlink/?linkid=870924
注释:
    ScenarioSequenceWithoutS5</t>
      </text>
    </comment>
    <comment ref="L1" authorId="1" shapeId="0" xr:uid="{52C78237-68D4-324E-8D0F-072A0730307E}">
      <text>
        <t>[线程批注]
你的Excel版本可读取此线程批注; 但如果在更新版本的Excel中打开文件，则对批注所作的任何改动都将被删除。了解详细信息: https://go.microsoft.com/fwlink/?linkid=870924
注释:
    S5-三停住车车，因为没有移动的刺激，所以从出现开始打标</t>
      </text>
    </comment>
    <comment ref="N1" authorId="2" shapeId="0" xr:uid="{1091DB35-884A-C745-BFB8-3AA661D562C2}">
      <text>
        <t>[线程批注]
你的Excel版本可读取此线程批注; 但如果在更新版本的Excel中打开文件，则对批注所作的任何改动都将被删除。了解详细信息: https://go.microsoft.com/fwlink/?linkid=870924
注释:
    两只眼睛中有一只大于60的时间比例</t>
      </text>
    </comment>
    <comment ref="O1" authorId="3" shapeId="0" xr:uid="{64DC5577-83A5-C241-A605-389EBA5085C6}">
      <text>
        <t>[线程批注]
你的Excel版本可读取此线程批注; 但如果在更新版本的Excel中打开文件，则对批注所作的任何改动都将被删除。了解详细信息: https://go.microsoft.com/fwlink/?linkid=870924
注释:
    三类数据：
1. 空着的是无效的数据（/）或未打标的数据
2. 红色的是负数
3. 没看到的目前记为了miss</t>
      </text>
    </comment>
    <comment ref="P1" authorId="4" shapeId="0" xr:uid="{F3FAAB20-7E0F-2C4F-A7F1-F60706522D21}">
      <text>
        <t>[线程批注]
你的Excel版本可读取此线程批注; 但如果在更新版本的Excel中打开文件，则对批注所作的任何改动都将被删除。了解详细信息: https://go.microsoft.com/fwlink/?linkid=870924
注释:
    三类数据：
1. 空着的是无效的数据（/）或未打标的数据
2. 红色的是负数
3. 没看到的目前记为了miss</t>
      </text>
    </comment>
    <comment ref="M296" authorId="5" shapeId="0" xr:uid="{1849D6C0-C52B-094B-B95B-4F6A0FBF8DBD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G205</t>
        </r>
      </text>
    </comment>
    <comment ref="M302" authorId="5" shapeId="0" xr:uid="{7AE3043F-57E4-244F-A1A6-9D13DB870B20}">
      <text>
        <r>
          <rPr>
            <sz val="10"/>
            <color rgb="FF000000"/>
            <rFont val="Microsoft YaHei UI"/>
            <charset val="1"/>
          </rPr>
          <t>也是</t>
        </r>
        <r>
          <rPr>
            <sz val="10"/>
            <color rgb="FF000000"/>
            <rFont val="Microsoft YaHei UI"/>
            <charset val="1"/>
          </rPr>
          <t>G205</t>
        </r>
      </text>
    </comment>
    <comment ref="M308" authorId="5" shapeId="0" xr:uid="{CF964D7D-C4D4-0140-94B6-77A359A289C3}">
      <text>
        <r>
          <rPr>
            <sz val="10"/>
            <color rgb="FF000000"/>
            <rFont val="Microsoft YaHei UI"/>
            <charset val="1"/>
          </rPr>
          <t>写成了</t>
        </r>
        <r>
          <rPr>
            <sz val="10"/>
            <color rgb="FF000000"/>
            <rFont val="Microsoft YaHei UI"/>
            <charset val="1"/>
          </rPr>
          <t>G204-3</t>
        </r>
      </text>
    </comment>
    <comment ref="M314" authorId="5" shapeId="0" xr:uid="{48037E31-7947-7E43-B6E7-69AA686CE8AE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G113</t>
        </r>
      </text>
    </comment>
    <comment ref="M320" authorId="5" shapeId="0" xr:uid="{7CC1A712-3EE8-4A41-ADF8-BFE10E0CFCFA}">
      <text>
        <r>
          <rPr>
            <sz val="10"/>
            <color rgb="FF000000"/>
            <rFont val="Microsoft YaHei UI"/>
            <charset val="1"/>
          </rPr>
          <t>也是</t>
        </r>
        <r>
          <rPr>
            <sz val="10"/>
            <color rgb="FF000000"/>
            <rFont val="Microsoft YaHei UI"/>
            <charset val="1"/>
          </rPr>
          <t>G113</t>
        </r>
      </text>
    </comment>
    <comment ref="M326" authorId="5" shapeId="0" xr:uid="{5D26CB83-8A16-4844-B934-BF67D59AE60B}">
      <text>
        <r>
          <rPr>
            <b/>
            <sz val="10"/>
            <color rgb="FF000000"/>
            <rFont val="Microsoft YaHei UI"/>
            <charset val="1"/>
          </rPr>
          <t>G113-3</t>
        </r>
      </text>
    </comment>
    <comment ref="M344" authorId="5" shapeId="0" xr:uid="{90D93BA1-1509-594C-AF33-5AF32615483E}">
      <text>
        <r>
          <rPr>
            <b/>
            <sz val="10"/>
            <color rgb="FF000000"/>
            <rFont val="Microsoft YaHei UI"/>
            <charset val="1"/>
          </rPr>
          <t>写成了</t>
        </r>
        <r>
          <rPr>
            <b/>
            <sz val="10"/>
            <color rgb="FF000000"/>
            <rFont val="Microsoft YaHei UI"/>
            <charset val="1"/>
          </rPr>
          <t xml:space="preserve">G113-3
</t>
        </r>
      </text>
    </comment>
    <comment ref="M632" authorId="5" shapeId="0" xr:uid="{E405B9F8-CC19-5B45-9DC9-8C226BCDD720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写成了</t>
        </r>
        <r>
          <rPr>
            <sz val="10"/>
            <color rgb="FF000000"/>
            <rFont val="Microsoft YaHei UI"/>
            <charset val="1"/>
          </rPr>
          <t>G216-1new</t>
        </r>
      </text>
    </comment>
    <comment ref="M638" authorId="5" shapeId="0" xr:uid="{1B1A3AC0-4B85-7440-81FA-36541586FF6F}">
      <text>
        <r>
          <rPr>
            <b/>
            <sz val="10"/>
            <color rgb="FF000000"/>
            <rFont val="Microsoft YaHei UI"/>
            <charset val="1"/>
          </rPr>
          <t>写成了</t>
        </r>
        <r>
          <rPr>
            <b/>
            <sz val="10"/>
            <color rgb="FF000000"/>
            <rFont val="Microsoft YaHei UI"/>
            <charset val="1"/>
          </rPr>
          <t>G216-2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51" authorId="0" shapeId="0" xr:uid="{C8FC7F53-8E52-924B-B064-11525EDDBE8D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G205</t>
        </r>
      </text>
    </comment>
    <comment ref="I52" authorId="0" shapeId="0" xr:uid="{403E664C-74C1-614A-9F7D-4017D478C3FA}">
      <text>
        <r>
          <rPr>
            <sz val="10"/>
            <color rgb="FF000000"/>
            <rFont val="Microsoft YaHei UI"/>
            <charset val="1"/>
          </rPr>
          <t>也是</t>
        </r>
        <r>
          <rPr>
            <sz val="10"/>
            <color rgb="FF000000"/>
            <rFont val="Microsoft YaHei UI"/>
            <charset val="1"/>
          </rPr>
          <t>G205</t>
        </r>
      </text>
    </comment>
    <comment ref="I53" authorId="0" shapeId="0" xr:uid="{45E2FA61-A124-AB41-B6C6-7CA93BA225C8}">
      <text>
        <r>
          <rPr>
            <sz val="10"/>
            <color rgb="FF000000"/>
            <rFont val="Microsoft YaHei UI"/>
            <charset val="1"/>
          </rPr>
          <t>写成了</t>
        </r>
        <r>
          <rPr>
            <sz val="10"/>
            <color rgb="FF000000"/>
            <rFont val="Microsoft YaHei UI"/>
            <charset val="1"/>
          </rPr>
          <t>G204-3</t>
        </r>
      </text>
    </comment>
    <comment ref="I54" authorId="0" shapeId="0" xr:uid="{DC6FD800-AA06-CE46-90CC-66D28FF96E28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G113</t>
        </r>
      </text>
    </comment>
    <comment ref="I55" authorId="0" shapeId="0" xr:uid="{C2F8A661-D7FB-114A-A4A4-70FD466DE27A}">
      <text>
        <r>
          <rPr>
            <sz val="10"/>
            <color rgb="FF000000"/>
            <rFont val="Microsoft YaHei UI"/>
            <charset val="1"/>
          </rPr>
          <t>也是</t>
        </r>
        <r>
          <rPr>
            <sz val="10"/>
            <color rgb="FF000000"/>
            <rFont val="Microsoft YaHei UI"/>
            <charset val="1"/>
          </rPr>
          <t>G113</t>
        </r>
      </text>
    </comment>
    <comment ref="I56" authorId="0" shapeId="0" xr:uid="{D6E99726-21EC-614B-9007-6291E87ECB86}">
      <text>
        <r>
          <rPr>
            <b/>
            <sz val="10"/>
            <color rgb="FF000000"/>
            <rFont val="Microsoft YaHei UI"/>
            <charset val="1"/>
          </rPr>
          <t>G113-3</t>
        </r>
      </text>
    </comment>
    <comment ref="I59" authorId="0" shapeId="0" xr:uid="{4E1FD80E-2F6D-B243-9F1C-A7B97299D4FB}">
      <text>
        <r>
          <rPr>
            <b/>
            <sz val="10"/>
            <color rgb="FF000000"/>
            <rFont val="Microsoft YaHei UI"/>
            <charset val="1"/>
          </rPr>
          <t>写成了</t>
        </r>
        <r>
          <rPr>
            <b/>
            <sz val="10"/>
            <color rgb="FF000000"/>
            <rFont val="Microsoft YaHei UI"/>
            <charset val="1"/>
          </rPr>
          <t xml:space="preserve">G113-3
</t>
        </r>
      </text>
    </comment>
    <comment ref="I107" authorId="0" shapeId="0" xr:uid="{791D5404-E37B-E341-9F88-0D5BD210BA88}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</t>
        </r>
        <r>
          <rPr>
            <sz val="10"/>
            <color rgb="FF000000"/>
            <rFont val="Microsoft YaHei UI"/>
            <charset val="1"/>
          </rPr>
          <t>写成了</t>
        </r>
        <r>
          <rPr>
            <sz val="10"/>
            <color rgb="FF000000"/>
            <rFont val="Microsoft YaHei UI"/>
            <charset val="1"/>
          </rPr>
          <t>G216-1new</t>
        </r>
      </text>
    </comment>
    <comment ref="I108" authorId="0" shapeId="0" xr:uid="{A87808CB-09CE-3D48-B3C0-4F9A58818DDC}">
      <text>
        <r>
          <rPr>
            <b/>
            <sz val="10"/>
            <color rgb="FF000000"/>
            <rFont val="Microsoft YaHei UI"/>
            <charset val="1"/>
          </rPr>
          <t>写成了</t>
        </r>
        <r>
          <rPr>
            <b/>
            <sz val="10"/>
            <color rgb="FF000000"/>
            <rFont val="Microsoft YaHei UI"/>
            <charset val="1"/>
          </rPr>
          <t>G216-2</t>
        </r>
      </text>
    </comment>
  </commentList>
</comments>
</file>

<file path=xl/sharedStrings.xml><?xml version="1.0" encoding="utf-8"?>
<sst xmlns="http://schemas.openxmlformats.org/spreadsheetml/2006/main" count="12112" uniqueCount="465">
  <si>
    <t>G101</t>
    <phoneticPr fontId="1" type="noConversion"/>
  </si>
  <si>
    <t>ID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</si>
  <si>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</si>
  <si>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</si>
  <si>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</si>
  <si>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Q5</t>
    <phoneticPr fontId="1" type="noConversion"/>
  </si>
  <si>
    <t>Q4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</si>
  <si>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</si>
  <si>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</si>
  <si>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</si>
  <si>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before</t>
    <phoneticPr fontId="1" type="noConversion"/>
  </si>
  <si>
    <t>after</t>
    <phoneticPr fontId="1" type="noConversion"/>
  </si>
  <si>
    <t>DrivingMode</t>
    <phoneticPr fontId="1" type="noConversion"/>
  </si>
  <si>
    <t>BeforeAfter</t>
    <phoneticPr fontId="1" type="noConversion"/>
  </si>
  <si>
    <t>Manual</t>
    <phoneticPr fontId="1" type="noConversion"/>
  </si>
  <si>
    <t>HandsOff</t>
    <phoneticPr fontId="1" type="noConversion"/>
  </si>
  <si>
    <t>HandsOn</t>
    <phoneticPr fontId="1" type="noConversion"/>
  </si>
  <si>
    <t>G102</t>
    <phoneticPr fontId="1" type="noConversion"/>
  </si>
  <si>
    <t>G104</t>
    <phoneticPr fontId="1" type="noConversion"/>
  </si>
  <si>
    <t>G103</t>
    <phoneticPr fontId="1" type="noConversion"/>
  </si>
  <si>
    <t>Manual</t>
  </si>
  <si>
    <t>HandsOff</t>
  </si>
  <si>
    <t>HandsOn</t>
  </si>
  <si>
    <t>Sequence</t>
    <phoneticPr fontId="1" type="noConversion"/>
  </si>
  <si>
    <t>G201</t>
    <phoneticPr fontId="1" type="noConversion"/>
  </si>
  <si>
    <t>G105</t>
    <phoneticPr fontId="1" type="noConversion"/>
  </si>
  <si>
    <t>G106</t>
    <phoneticPr fontId="1" type="noConversion"/>
  </si>
  <si>
    <t>G107</t>
    <phoneticPr fontId="1" type="noConversion"/>
  </si>
  <si>
    <t>G202</t>
    <phoneticPr fontId="1" type="noConversion"/>
  </si>
  <si>
    <t>before</t>
  </si>
  <si>
    <t>after</t>
  </si>
  <si>
    <t>G108</t>
    <phoneticPr fontId="1" type="noConversion"/>
  </si>
  <si>
    <t>G109</t>
    <phoneticPr fontId="1" type="noConversion"/>
  </si>
  <si>
    <t>G203</t>
    <phoneticPr fontId="1" type="noConversion"/>
  </si>
  <si>
    <t>G110</t>
    <phoneticPr fontId="1" type="noConversion"/>
  </si>
  <si>
    <t>G204</t>
    <phoneticPr fontId="1" type="noConversion"/>
  </si>
  <si>
    <t>G111</t>
    <phoneticPr fontId="1" type="noConversion"/>
  </si>
  <si>
    <t>G112</t>
    <phoneticPr fontId="1" type="noConversion"/>
  </si>
  <si>
    <t>G205</t>
    <phoneticPr fontId="1" type="noConversion"/>
  </si>
  <si>
    <t>G113</t>
    <phoneticPr fontId="1" type="noConversion"/>
  </si>
  <si>
    <t>G114</t>
    <phoneticPr fontId="1" type="noConversion"/>
  </si>
  <si>
    <t>G115</t>
    <phoneticPr fontId="1" type="noConversion"/>
  </si>
  <si>
    <t>G116</t>
    <phoneticPr fontId="1" type="noConversion"/>
  </si>
  <si>
    <t>G117</t>
    <phoneticPr fontId="1" type="noConversion"/>
  </si>
  <si>
    <t>G118</t>
    <phoneticPr fontId="1" type="noConversion"/>
  </si>
  <si>
    <t>G206</t>
    <phoneticPr fontId="1" type="noConversion"/>
  </si>
  <si>
    <t>G207</t>
    <phoneticPr fontId="1" type="noConversion"/>
  </si>
  <si>
    <t>G208</t>
    <phoneticPr fontId="1" type="noConversion"/>
  </si>
  <si>
    <t>G209</t>
    <phoneticPr fontId="1" type="noConversion"/>
  </si>
  <si>
    <t>G210</t>
    <phoneticPr fontId="1" type="noConversion"/>
  </si>
  <si>
    <t>Test1</t>
    <phoneticPr fontId="1" type="noConversion"/>
  </si>
  <si>
    <t>Test2</t>
  </si>
  <si>
    <t>Test2</t>
    <phoneticPr fontId="1" type="noConversion"/>
  </si>
  <si>
    <t>Test</t>
    <phoneticPr fontId="1" type="noConversion"/>
  </si>
  <si>
    <t>CollisionOrNot</t>
    <phoneticPr fontId="1" type="noConversion"/>
  </si>
  <si>
    <t>ModeSequence</t>
    <phoneticPr fontId="1" type="noConversion"/>
  </si>
  <si>
    <t>G101</t>
  </si>
  <si>
    <t>Non</t>
    <phoneticPr fontId="1" type="noConversion"/>
  </si>
  <si>
    <t>Test3</t>
    <phoneticPr fontId="1" type="noConversion"/>
  </si>
  <si>
    <t>G211</t>
    <phoneticPr fontId="1" type="noConversion"/>
  </si>
  <si>
    <t>G212</t>
    <phoneticPr fontId="1" type="noConversion"/>
  </si>
  <si>
    <t>G213</t>
    <phoneticPr fontId="1" type="noConversion"/>
  </si>
  <si>
    <t>G214</t>
    <phoneticPr fontId="1" type="noConversion"/>
  </si>
  <si>
    <t>G215</t>
    <phoneticPr fontId="1" type="noConversion"/>
  </si>
  <si>
    <t>G119</t>
    <phoneticPr fontId="1" type="noConversion"/>
  </si>
  <si>
    <t>Shift</t>
  </si>
  <si>
    <t>Shift</t>
    <phoneticPr fontId="1" type="noConversion"/>
  </si>
  <si>
    <t>G216</t>
    <phoneticPr fontId="1" type="noConversion"/>
  </si>
  <si>
    <t>G217</t>
    <phoneticPr fontId="1" type="noConversion"/>
  </si>
  <si>
    <t>G218</t>
  </si>
  <si>
    <t>G218</t>
    <phoneticPr fontId="1" type="noConversion"/>
  </si>
  <si>
    <t>TotalScores</t>
    <phoneticPr fontId="1" type="noConversion"/>
  </si>
  <si>
    <t>Age</t>
  </si>
  <si>
    <t>Gender</t>
  </si>
  <si>
    <t>WakeupTime</t>
  </si>
  <si>
    <t>ExperimentTime</t>
  </si>
  <si>
    <t>AwakeDuration</t>
  </si>
  <si>
    <t>AnnualMileage</t>
  </si>
  <si>
    <t>DrivingYears</t>
  </si>
  <si>
    <t>TypesOfDrivingLicense</t>
  </si>
  <si>
    <t>NightShiftStartingTime</t>
  </si>
  <si>
    <t>NightShiftEndTime</t>
  </si>
  <si>
    <t>Non</t>
  </si>
  <si>
    <t>F</t>
  </si>
  <si>
    <t>Full</t>
  </si>
  <si>
    <t>G104</t>
  </si>
  <si>
    <t>G103</t>
  </si>
  <si>
    <t>M</t>
  </si>
  <si>
    <t>G102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</si>
  <si>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</si>
  <si>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</si>
  <si>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</si>
  <si>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</si>
  <si>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</si>
  <si>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</si>
  <si>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</si>
  <si>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</si>
  <si>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</si>
  <si>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</si>
  <si>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</si>
  <si>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</si>
  <si>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</si>
  <si>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</si>
  <si>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</si>
  <si>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5:00AM</t>
  </si>
  <si>
    <t>G202</t>
  </si>
  <si>
    <t>G201</t>
  </si>
  <si>
    <t>7:00 PM</t>
  </si>
  <si>
    <t>11:00 PM</t>
  </si>
  <si>
    <t>5:00 AM</t>
  </si>
  <si>
    <t>G204</t>
  </si>
  <si>
    <t>G214</t>
  </si>
  <si>
    <t>7:30 PM</t>
  </si>
  <si>
    <t>8:00 AM</t>
  </si>
  <si>
    <t>G211</t>
  </si>
  <si>
    <t>12:00 PM</t>
  </si>
  <si>
    <t>6:00 PM</t>
  </si>
  <si>
    <t>6:00 AM</t>
  </si>
  <si>
    <t>G203</t>
  </si>
  <si>
    <t>7:00 AM</t>
  </si>
  <si>
    <t>G205</t>
  </si>
  <si>
    <t>10:00 PM</t>
  </si>
  <si>
    <t>2:00 AM</t>
  </si>
  <si>
    <t>G208</t>
  </si>
  <si>
    <t>11:00 AM</t>
  </si>
  <si>
    <t>11:15 PM</t>
  </si>
  <si>
    <t>G206</t>
  </si>
  <si>
    <t>12:30 PM</t>
  </si>
  <si>
    <t>G217</t>
  </si>
  <si>
    <t>G207</t>
  </si>
  <si>
    <t>2.30 PM</t>
  </si>
  <si>
    <t>G210</t>
  </si>
  <si>
    <t>G209</t>
  </si>
  <si>
    <t>Full &amp; C1</t>
  </si>
  <si>
    <t>G215</t>
  </si>
  <si>
    <t>G216</t>
  </si>
  <si>
    <t>G212</t>
  </si>
  <si>
    <t>7:30 AM</t>
  </si>
  <si>
    <t>G213</t>
  </si>
  <si>
    <t>KSSScores</t>
    <phoneticPr fontId="1" type="noConversion"/>
  </si>
  <si>
    <t>Sleepiness</t>
    <phoneticPr fontId="1" type="noConversion"/>
  </si>
  <si>
    <t>G219</t>
    <phoneticPr fontId="1" type="noConversion"/>
  </si>
  <si>
    <t>F</t>
    <phoneticPr fontId="1" type="noConversion"/>
  </si>
  <si>
    <t>6:00AM</t>
    <phoneticPr fontId="1" type="noConversion"/>
  </si>
  <si>
    <t>7:00PM</t>
    <phoneticPr fontId="3" type="noConversion"/>
  </si>
  <si>
    <t>8:00AM</t>
    <phoneticPr fontId="3" type="noConversion"/>
  </si>
  <si>
    <t>Full</t>
    <phoneticPr fontId="1" type="noConversion"/>
  </si>
  <si>
    <t>S1</t>
    <phoneticPr fontId="1" type="noConversion"/>
  </si>
  <si>
    <t>S6</t>
    <phoneticPr fontId="1" type="noConversion"/>
  </si>
  <si>
    <t>S4</t>
    <phoneticPr fontId="1" type="noConversion"/>
  </si>
  <si>
    <t>S2</t>
    <phoneticPr fontId="1" type="noConversion"/>
  </si>
  <si>
    <t>S5</t>
    <phoneticPr fontId="1" type="noConversion"/>
  </si>
  <si>
    <t>S3</t>
    <phoneticPr fontId="1" type="noConversion"/>
  </si>
  <si>
    <t>S3</t>
  </si>
  <si>
    <t>S1</t>
  </si>
  <si>
    <t>S6</t>
  </si>
  <si>
    <t>S5</t>
  </si>
  <si>
    <t>S2</t>
  </si>
  <si>
    <t>S4</t>
  </si>
  <si>
    <t>Direction</t>
    <phoneticPr fontId="1" type="noConversion"/>
  </si>
  <si>
    <t>Left</t>
  </si>
  <si>
    <t>Right</t>
  </si>
  <si>
    <t>G219</t>
  </si>
  <si>
    <t>ModeSequenceName</t>
    <phoneticPr fontId="1" type="noConversion"/>
  </si>
  <si>
    <t>sub1</t>
  </si>
  <si>
    <t>sub2</t>
  </si>
  <si>
    <t>sub3</t>
  </si>
  <si>
    <t>sub4</t>
  </si>
  <si>
    <t>sub5</t>
  </si>
  <si>
    <t>sub6</t>
  </si>
  <si>
    <t>sub4</t>
    <phoneticPr fontId="1" type="noConversion"/>
  </si>
  <si>
    <t>sub5</t>
    <phoneticPr fontId="1" type="noConversion"/>
  </si>
  <si>
    <t>sub6</t>
    <phoneticPr fontId="1" type="noConversion"/>
  </si>
  <si>
    <t>sub1</t>
    <phoneticPr fontId="1" type="noConversion"/>
  </si>
  <si>
    <t>sub2</t>
    <phoneticPr fontId="1" type="noConversion"/>
  </si>
  <si>
    <t>sub3</t>
    <phoneticPr fontId="1" type="noConversion"/>
  </si>
  <si>
    <t>sub7</t>
  </si>
  <si>
    <t>sub7</t>
    <phoneticPr fontId="1" type="noConversion"/>
  </si>
  <si>
    <t>sub8</t>
  </si>
  <si>
    <t>sub8</t>
    <phoneticPr fontId="1" type="noConversion"/>
  </si>
  <si>
    <t>sub9</t>
  </si>
  <si>
    <t>sub9</t>
    <phoneticPr fontId="1" type="noConversion"/>
  </si>
  <si>
    <t>sub10</t>
  </si>
  <si>
    <t>sub10</t>
    <phoneticPr fontId="1" type="noConversion"/>
  </si>
  <si>
    <t>sub11</t>
  </si>
  <si>
    <t>sub11</t>
    <phoneticPr fontId="1" type="noConversion"/>
  </si>
  <si>
    <t>sub12</t>
  </si>
  <si>
    <t>sub12</t>
    <phoneticPr fontId="1" type="noConversion"/>
  </si>
  <si>
    <t>sub13</t>
  </si>
  <si>
    <t>sub13</t>
    <phoneticPr fontId="1" type="noConversion"/>
  </si>
  <si>
    <t>Brake</t>
  </si>
  <si>
    <t>Brake</t>
    <phoneticPr fontId="1" type="noConversion"/>
  </si>
  <si>
    <t>Accelerate</t>
  </si>
  <si>
    <t>Button</t>
  </si>
  <si>
    <t>T2</t>
  </si>
  <si>
    <t>Steering</t>
    <phoneticPr fontId="1" type="noConversion"/>
  </si>
  <si>
    <t>ID</t>
  </si>
  <si>
    <t>T1</t>
  </si>
  <si>
    <t>064</t>
  </si>
  <si>
    <t>T3</t>
  </si>
  <si>
    <t>025</t>
  </si>
  <si>
    <t>062(2)</t>
  </si>
  <si>
    <t>009</t>
  </si>
  <si>
    <t>068</t>
  </si>
  <si>
    <t>057(2)</t>
  </si>
  <si>
    <t>056(2)</t>
  </si>
  <si>
    <t>029</t>
  </si>
  <si>
    <t>021(2)</t>
  </si>
  <si>
    <t>052</t>
  </si>
  <si>
    <t>005</t>
  </si>
  <si>
    <t>013</t>
  </si>
  <si>
    <t>069(2)</t>
  </si>
  <si>
    <t>068(2)</t>
  </si>
  <si>
    <t>044</t>
  </si>
  <si>
    <t>012</t>
  </si>
  <si>
    <t>053</t>
  </si>
  <si>
    <t>028</t>
  </si>
  <si>
    <t>049</t>
  </si>
  <si>
    <t>040(2)</t>
  </si>
  <si>
    <t>008</t>
  </si>
  <si>
    <t>073</t>
  </si>
  <si>
    <t>065</t>
  </si>
  <si>
    <t>032</t>
  </si>
  <si>
    <t>036(2)</t>
  </si>
  <si>
    <t>047(2)</t>
  </si>
  <si>
    <t>035</t>
  </si>
  <si>
    <t>062</t>
  </si>
  <si>
    <t>074</t>
  </si>
  <si>
    <t>023</t>
  </si>
  <si>
    <t>058</t>
  </si>
  <si>
    <t>031(2)</t>
  </si>
  <si>
    <t>019</t>
  </si>
  <si>
    <t>013(2)</t>
  </si>
  <si>
    <t>059</t>
  </si>
  <si>
    <t>022</t>
  </si>
  <si>
    <t>034</t>
  </si>
  <si>
    <t>043</t>
  </si>
  <si>
    <t>014</t>
  </si>
  <si>
    <t>018(2)</t>
  </si>
  <si>
    <t>051(2)</t>
  </si>
  <si>
    <t>055</t>
  </si>
  <si>
    <t>079</t>
  </si>
  <si>
    <t>080</t>
  </si>
  <si>
    <t>038</t>
  </si>
  <si>
    <t>040</t>
  </si>
  <si>
    <t>017</t>
  </si>
  <si>
    <t>056</t>
  </si>
  <si>
    <t>048(2)</t>
  </si>
  <si>
    <t>076</t>
  </si>
  <si>
    <t>037</t>
  </si>
  <si>
    <t>061</t>
  </si>
  <si>
    <t>077</t>
  </si>
  <si>
    <t>020</t>
  </si>
  <si>
    <t>022(2)</t>
  </si>
  <si>
    <t>017(2)</t>
  </si>
  <si>
    <t>061(2)</t>
  </si>
  <si>
    <t>016</t>
  </si>
  <si>
    <t>041</t>
  </si>
  <si>
    <t>029(2)</t>
  </si>
  <si>
    <t>028(2)</t>
  </si>
  <si>
    <t>052(2)</t>
  </si>
  <si>
    <t>070</t>
  </si>
  <si>
    <t>031</t>
  </si>
  <si>
    <t>046</t>
  </si>
  <si>
    <t>050</t>
  </si>
  <si>
    <t>044(2)</t>
  </si>
  <si>
    <t>045(2)</t>
  </si>
  <si>
    <t>006</t>
  </si>
  <si>
    <t>032(2)</t>
  </si>
  <si>
    <t>047</t>
  </si>
  <si>
    <t>067</t>
  </si>
  <si>
    <t>071</t>
  </si>
  <si>
    <t>026</t>
  </si>
  <si>
    <t>039(2)</t>
  </si>
  <si>
    <t xml:space="preserve"> </t>
  </si>
  <si>
    <t>Left</t>
    <phoneticPr fontId="1" type="noConversion"/>
  </si>
  <si>
    <t>Right</t>
    <phoneticPr fontId="1" type="noConversion"/>
  </si>
  <si>
    <t>ScenarioType</t>
    <phoneticPr fontId="1" type="noConversion"/>
  </si>
  <si>
    <t>Recording</t>
    <phoneticPr fontId="1" type="noConversion"/>
  </si>
  <si>
    <t>003</t>
    <phoneticPr fontId="1" type="noConversion"/>
  </si>
  <si>
    <t>005</t>
    <phoneticPr fontId="1" type="noConversion"/>
  </si>
  <si>
    <t>006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</si>
  <si>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</si>
  <si>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</si>
  <si>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</si>
  <si>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</si>
  <si>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</si>
  <si>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</si>
  <si>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007</t>
    <phoneticPr fontId="1" type="noConversion"/>
  </si>
  <si>
    <t>008</t>
    <phoneticPr fontId="1" type="noConversion"/>
  </si>
  <si>
    <t>009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</si>
  <si>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</si>
  <si>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</si>
  <si>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</si>
  <si>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</si>
  <si>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</si>
  <si>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</si>
  <si>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</si>
  <si>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028</t>
    <phoneticPr fontId="1" type="noConversion"/>
  </si>
  <si>
    <t>029</t>
    <phoneticPr fontId="1" type="noConversion"/>
  </si>
  <si>
    <t>033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</si>
  <si>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</si>
  <si>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</si>
  <si>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</si>
  <si>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</si>
  <si>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</si>
  <si>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</si>
  <si>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</si>
  <si>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</si>
  <si>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048</t>
    <phoneticPr fontId="1" type="noConversion"/>
  </si>
  <si>
    <t>049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</si>
  <si>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</si>
  <si>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</si>
  <si>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</si>
  <si>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053</t>
    <phoneticPr fontId="1" type="noConversion"/>
  </si>
  <si>
    <t>057</t>
    <phoneticPr fontId="1" type="noConversion"/>
  </si>
  <si>
    <t>058</t>
    <phoneticPr fontId="1" type="noConversion"/>
  </si>
  <si>
    <t>059</t>
    <phoneticPr fontId="1" type="noConversion"/>
  </si>
  <si>
    <t>060</t>
    <phoneticPr fontId="1" type="noConversion"/>
  </si>
  <si>
    <t>061</t>
    <phoneticPr fontId="1" type="noConversion"/>
  </si>
  <si>
    <t>062</t>
    <phoneticPr fontId="1" type="noConversion"/>
  </si>
  <si>
    <t>063</t>
    <phoneticPr fontId="1" type="noConversion"/>
  </si>
  <si>
    <t>064</t>
    <phoneticPr fontId="1" type="noConversion"/>
  </si>
  <si>
    <t>065</t>
    <phoneticPr fontId="1" type="noConversion"/>
  </si>
  <si>
    <t>066</t>
    <phoneticPr fontId="1" type="noConversion"/>
  </si>
  <si>
    <t>067</t>
    <phoneticPr fontId="1" type="noConversion"/>
  </si>
  <si>
    <t>068</t>
    <phoneticPr fontId="1" type="noConversion"/>
  </si>
  <si>
    <t>069</t>
    <phoneticPr fontId="1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</si>
  <si>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</si>
  <si>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</si>
  <si>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</si>
  <si>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073</t>
    <phoneticPr fontId="1" type="noConversion"/>
  </si>
  <si>
    <t>074</t>
    <phoneticPr fontId="1" type="noConversion"/>
  </si>
  <si>
    <t>046(2)</t>
    <phoneticPr fontId="1" type="noConversion"/>
  </si>
  <si>
    <t>047(2)</t>
    <phoneticPr fontId="1" type="noConversion"/>
  </si>
  <si>
    <t>048(2)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</si>
  <si>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</si>
  <si>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</si>
  <si>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</si>
  <si>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</si>
  <si>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</si>
  <si>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</si>
  <si>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039</t>
    <phoneticPr fontId="1" type="noConversion"/>
  </si>
  <si>
    <t>040</t>
    <phoneticPr fontId="1" type="noConversion"/>
  </si>
  <si>
    <t>041</t>
    <phoneticPr fontId="1" type="noConversion"/>
  </si>
  <si>
    <t>045</t>
    <phoneticPr fontId="1" type="noConversion"/>
  </si>
  <si>
    <t>046</t>
    <phoneticPr fontId="1" type="noConversion"/>
  </si>
  <si>
    <t>047</t>
    <phoneticPr fontId="1" type="noConversion"/>
  </si>
  <si>
    <t>054</t>
    <phoneticPr fontId="1" type="noConversion"/>
  </si>
  <si>
    <t>055</t>
    <phoneticPr fontId="1" type="noConversion"/>
  </si>
  <si>
    <t>056</t>
    <phoneticPr fontId="1" type="noConversion"/>
  </si>
  <si>
    <t>075</t>
    <phoneticPr fontId="1" type="noConversion"/>
  </si>
  <si>
    <t>076</t>
    <phoneticPr fontId="1" type="noConversion"/>
  </si>
  <si>
    <t>077</t>
    <phoneticPr fontId="1" type="noConversion"/>
  </si>
  <si>
    <t>078</t>
    <phoneticPr fontId="1" type="noConversion"/>
  </si>
  <si>
    <t>079</t>
    <phoneticPr fontId="1" type="noConversion"/>
  </si>
  <si>
    <t>080</t>
    <phoneticPr fontId="1" type="noConversion"/>
  </si>
  <si>
    <t>012(2)</t>
    <phoneticPr fontId="1" type="noConversion"/>
  </si>
  <si>
    <t>013(2)</t>
    <phoneticPr fontId="1" type="noConversion"/>
  </si>
  <si>
    <t>014</t>
    <phoneticPr fontId="1" type="noConversion"/>
  </si>
  <si>
    <t>016(2)</t>
    <phoneticPr fontId="1" type="noConversion"/>
  </si>
  <si>
    <t>017(2)</t>
    <phoneticPr fontId="1" type="noConversion"/>
  </si>
  <si>
    <t>018(2)</t>
    <phoneticPr fontId="1" type="noConversion"/>
  </si>
  <si>
    <t>020(2)</t>
    <phoneticPr fontId="1" type="noConversion"/>
  </si>
  <si>
    <t>021(2)</t>
    <phoneticPr fontId="1" type="noConversion"/>
  </si>
  <si>
    <t>022(2)</t>
    <phoneticPr fontId="1" type="noConversion"/>
  </si>
  <si>
    <t>027(2)</t>
    <phoneticPr fontId="1" type="noConversion"/>
  </si>
  <si>
    <t>028(2)</t>
    <phoneticPr fontId="1" type="noConversion"/>
  </si>
  <si>
    <t>029(2)</t>
    <phoneticPr fontId="1" type="noConversion"/>
  </si>
  <si>
    <t>030(2)</t>
    <phoneticPr fontId="1" type="noConversion"/>
  </si>
  <si>
    <t>031(2)</t>
    <phoneticPr fontId="1" type="noConversion"/>
  </si>
  <si>
    <t>032(2)</t>
    <phoneticPr fontId="1" type="noConversion"/>
  </si>
  <si>
    <t>034(2)</t>
    <phoneticPr fontId="1" type="noConversion"/>
  </si>
  <si>
    <t>035(2)</t>
    <phoneticPr fontId="1" type="noConversion"/>
  </si>
  <si>
    <t>036(2)</t>
    <phoneticPr fontId="1" type="noConversion"/>
  </si>
  <si>
    <t>038(2)</t>
    <phoneticPr fontId="1" type="noConversion"/>
  </si>
  <si>
    <t>039(2)</t>
    <phoneticPr fontId="1" type="noConversion"/>
  </si>
  <si>
    <t>040(2)</t>
    <phoneticPr fontId="1" type="noConversion"/>
  </si>
  <si>
    <t>043(2)</t>
    <phoneticPr fontId="1" type="noConversion"/>
  </si>
  <si>
    <t>044(2)</t>
    <phoneticPr fontId="1" type="noConversion"/>
  </si>
  <si>
    <t>045(2)</t>
    <phoneticPr fontId="1" type="noConversion"/>
  </si>
  <si>
    <t>050(2)</t>
    <phoneticPr fontId="1" type="noConversion"/>
  </si>
  <si>
    <t>051(2)</t>
    <phoneticPr fontId="1" type="noConversion"/>
  </si>
  <si>
    <t>052(2)</t>
    <phoneticPr fontId="1" type="noConversion"/>
  </si>
  <si>
    <t>055(2)</t>
    <phoneticPr fontId="1" type="noConversion"/>
  </si>
  <si>
    <t>056(2)</t>
    <phoneticPr fontId="1" type="noConversion"/>
  </si>
  <si>
    <t>057(2)</t>
    <phoneticPr fontId="1" type="noConversion"/>
  </si>
  <si>
    <t>060(2)</t>
    <phoneticPr fontId="1" type="noConversion"/>
  </si>
  <si>
    <t>061(2)</t>
    <phoneticPr fontId="1" type="noConversion"/>
  </si>
  <si>
    <t>062(2)</t>
    <phoneticPr fontId="1" type="noConversion"/>
  </si>
  <si>
    <t>067(2)</t>
    <phoneticPr fontId="1" type="noConversion"/>
  </si>
  <si>
    <t>068(2)</t>
    <phoneticPr fontId="1" type="noConversion"/>
  </si>
  <si>
    <t>069(2)</t>
    <phoneticPr fontId="1" type="noConversion"/>
  </si>
  <si>
    <t>First_Hazard_Identification_Time</t>
    <phoneticPr fontId="1" type="noConversion"/>
  </si>
  <si>
    <t xml:space="preserve"> </t>
    <phoneticPr fontId="1" type="noConversion"/>
  </si>
  <si>
    <t>miss</t>
    <phoneticPr fontId="1" type="noConversion"/>
  </si>
  <si>
    <t>Response_TTC_Value</t>
    <phoneticPr fontId="1" type="noConversion"/>
  </si>
  <si>
    <t>RespondOrNot</t>
    <phoneticPr fontId="1" type="noConversion"/>
  </si>
  <si>
    <t>ResponseType</t>
    <phoneticPr fontId="1" type="noConversion"/>
  </si>
  <si>
    <t>ScenarioSequence</t>
    <phoneticPr fontId="1" type="noConversion"/>
  </si>
  <si>
    <t>PD_Average_Mean</t>
    <phoneticPr fontId="1" type="noConversion"/>
  </si>
  <si>
    <t>Age</t>
    <phoneticPr fontId="1" type="noConversion"/>
  </si>
  <si>
    <t>AnnualMileage</t>
    <phoneticPr fontId="1" type="noConversion"/>
  </si>
  <si>
    <t>DrivingYears</t>
    <phoneticPr fontId="1" type="noConversion"/>
  </si>
  <si>
    <t>ScenarioSequence_Original</t>
    <phoneticPr fontId="1" type="noConversion"/>
  </si>
  <si>
    <t>PD_Left_Mean</t>
    <phoneticPr fontId="1" type="noConversion"/>
  </si>
  <si>
    <t>PD_Right_Mean</t>
    <phoneticPr fontId="1" type="noConversion"/>
  </si>
  <si>
    <t>PD_Filtered_Mean</t>
    <phoneticPr fontId="1" type="noConversion"/>
  </si>
  <si>
    <t>Hazard_Identification</t>
    <phoneticPr fontId="1" type="noConversion"/>
  </si>
  <si>
    <t>Hazard_Identification_TimeOrMiss</t>
    <phoneticPr fontId="1" type="noConversion"/>
  </si>
  <si>
    <t>Recording</t>
  </si>
  <si>
    <t>Hs</t>
  </si>
  <si>
    <t>Hs_max</t>
  </si>
  <si>
    <t>Hs_norm</t>
  </si>
  <si>
    <t>Ht</t>
  </si>
  <si>
    <t>Ht_max</t>
  </si>
  <si>
    <t>Ht_norm</t>
  </si>
  <si>
    <t>N</t>
  </si>
  <si>
    <t>003</t>
  </si>
  <si>
    <t>007</t>
  </si>
  <si>
    <t>011</t>
  </si>
  <si>
    <t>015</t>
  </si>
  <si>
    <t>018</t>
  </si>
  <si>
    <t>021</t>
  </si>
  <si>
    <t>024</t>
  </si>
  <si>
    <t>027</t>
  </si>
  <si>
    <t>030</t>
  </si>
  <si>
    <t>033</t>
  </si>
  <si>
    <t>036</t>
  </si>
  <si>
    <t>039</t>
  </si>
  <si>
    <t>042</t>
  </si>
  <si>
    <t>045</t>
  </si>
  <si>
    <t>048</t>
  </si>
  <si>
    <t>051</t>
  </si>
  <si>
    <t>054</t>
  </si>
  <si>
    <t>057</t>
  </si>
  <si>
    <t>060</t>
  </si>
  <si>
    <t>063</t>
  </si>
  <si>
    <t>066</t>
  </si>
  <si>
    <t>069</t>
  </si>
  <si>
    <t>072</t>
  </si>
  <si>
    <t>075</t>
  </si>
  <si>
    <t>078</t>
  </si>
  <si>
    <t>012(2)</t>
  </si>
  <si>
    <t>016(2)</t>
  </si>
  <si>
    <t>020(2)</t>
  </si>
  <si>
    <t>027(2)</t>
  </si>
  <si>
    <t>030(2)</t>
  </si>
  <si>
    <t>034(2)</t>
  </si>
  <si>
    <t>035(2)</t>
  </si>
  <si>
    <t>038(2)</t>
  </si>
  <si>
    <t>043(2)</t>
  </si>
  <si>
    <t>046(2)</t>
  </si>
  <si>
    <t>050(2)</t>
  </si>
  <si>
    <t>055(2)</t>
  </si>
  <si>
    <t>060(2)</t>
  </si>
  <si>
    <t>067(2)</t>
  </si>
  <si>
    <t>PERCLOS</t>
    <phoneticPr fontId="1" type="noConversion"/>
  </si>
  <si>
    <t>Gaze_X_STD</t>
    <phoneticPr fontId="1" type="noConversion"/>
  </si>
  <si>
    <t>Gaze_Y_STD</t>
    <phoneticPr fontId="1" type="noConversion"/>
  </si>
  <si>
    <t>RespondOrNot1</t>
    <phoneticPr fontId="1" type="noConversion"/>
  </si>
  <si>
    <t>ResponseType1</t>
    <phoneticPr fontId="1" type="noConversion"/>
  </si>
  <si>
    <t>Gas</t>
  </si>
  <si>
    <t>DriverState</t>
    <phoneticPr fontId="1" type="noConversion"/>
  </si>
  <si>
    <t>DriverState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</si>
</sst>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0_);[Red]\(0.000\)"/>
    <numFmt numFmtId="178" formatCode="0.00_);[Red]\(0.00\)"/>
  </numFmts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Times Roman"/>
    </font>
    <font>
      <sz val="9"/>
      <name val="等线"/>
      <family val="3"/>
      <charset val="134"/>
      <scheme val="minor"/>
    </font>
    <font>
      <sz val="10"/>
      <color rgb="FF000000"/>
      <name val="Microsoft YaHei UI"/>
      <charset val="1"/>
    </font>
    <font>
      <b/>
      <sz val="10"/>
      <color rgb="FF000000"/>
      <name val="Microsoft YaHei UI"/>
      <charset val="1"/>
    </font>
    <font>
      <sz val="14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rgb="FFFF0000"/>
      <name val="等线"/>
      <family val="4"/>
      <charset val="134"/>
      <scheme val="minor"/>
    </font>
    <font>
      <sz val="16"/>
      <name val="Arial"/>
      <family val="2"/>
    </font>
    <font>
      <sz val="16"/>
      <color rgb="FF000000"/>
      <name val="等线"/>
      <family val="4"/>
      <charset val="134"/>
      <scheme val="minor"/>
    </font>
    <font>
      <b/>
      <sz val="16"/>
      <name val="Arial"/>
      <family val="2"/>
    </font>
    <font>
      <sz val="16"/>
      <color rgb="FFFF0000"/>
      <name val="等线"/>
      <family val="4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theme="5" tint="-0.249977111117893"/>
      <name val="等线"/>
      <family val="4"/>
      <charset val="134"/>
      <scheme val="minor"/>
    </font>
    <font>
      <sz val="16"/>
      <color theme="1"/>
      <name val="Arial"/>
      <family val="2"/>
    </font>
    <font>
      <sz val="14"/>
      <name val="Arial"/>
      <family val="2"/>
    </font>
    <font>
      <sz val="14"/>
      <color rgb="FF000000"/>
      <name val="等线"/>
      <family val="4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6"/>
      <name val="等线"/>
      <family val="4"/>
      <charset val="134"/>
      <scheme val="minor"/>
    </font>
    <font>
      <sz val="10"/>
      <color rgb="FF000000"/>
      <name val="等线"/>
      <family val="4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8" fontId="2" fillId="6" borderId="4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18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10" borderId="1" xfId="0" applyNumberFormat="1" applyFont="1" applyFill="1" applyBorder="1" applyAlignment="1">
      <alignment horizontal="center" vertical="center"/>
    </xf>
    <xf numFmtId="49" fontId="14" fillId="10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left" vertical="center" wrapText="1"/>
    </xf>
    <xf numFmtId="177" fontId="13" fillId="10" borderId="1" xfId="0" applyNumberFormat="1" applyFont="1" applyFill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20" fillId="2" borderId="1" xfId="0" applyNumberFormat="1" applyFont="1" applyFill="1" applyBorder="1" applyAlignment="1">
      <alignment horizontal="left" vertical="center" wrapText="1"/>
    </xf>
    <xf numFmtId="176" fontId="14" fillId="1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/>
    <xf numFmtId="0" fontId="14" fillId="0" borderId="1" xfId="0" applyFont="1" applyBorder="1">
      <alignment vertical="center"/>
    </xf>
    <xf numFmtId="176" fontId="20" fillId="0" borderId="1" xfId="0" applyNumberFormat="1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177" fontId="9" fillId="0" borderId="1" xfId="0" applyNumberFormat="1" applyFont="1" applyBorder="1" applyAlignment="1">
      <alignment horizontal="left" vertical="center" wrapText="1"/>
    </xf>
    <xf numFmtId="178" fontId="20" fillId="0" borderId="1" xfId="0" applyNumberFormat="1" applyFont="1" applyBorder="1" applyAlignment="1">
      <alignment horizontal="left" vertical="center" wrapText="1"/>
    </xf>
    <xf numFmtId="178" fontId="14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 zhang" id="{B3F5CB76-CBF6-E746-97B0-05CF5817A4CE}" userId="9e34f174dfec1693" providerId="Windows Live"/>
  <person displayName="Wei Zhang" id="{1897D4B3-1DC7-BB41-B5FE-DAA6096588CD}" userId="S::vvdr2286@leeds.ac.uk::16f1c64c-c6d4-4d4d-9706-c674885946a9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06-08T08:40:12.30" personId="{B3F5CB76-CBF6-E746-97B0-05CF5817A4CE}" id="{CE2CE132-8631-2340-8067-ECB5800C90E6}">
    <text>fromvisibletoobjects</text>
  </threadedComment>
  <threadedComment ref="O1" dT="2025-04-15T04:47:31.12" personId="{1897D4B3-1DC7-BB41-B5FE-DAA6096588CD}" id="{87ADC59E-ABBA-1644-9193-AE35D03E1248}">
    <text>Manual只有brake一种
Auto有Accelerate，Brake， button三种
可以分开来讨论和统计</text>
  </threadedComment>
  <threadedComment ref="O1" dT="2025-06-08T08:40:40.60" personId="{B3F5CB76-CBF6-E746-97B0-05CF5817A4CE}" id="{EA9D6C2B-0CFB-7140-B017-C71A6F1C2291}" parentId="{87ADC59E-ABBA-1644-9193-AE35D03E1248}">
    <text>fromvisibletoobjects</text>
  </threadedComment>
  <threadedComment ref="P1" dT="2025-09-05T06:02:11.95" personId="{B3F5CB76-CBF6-E746-97B0-05CF5817A4CE}" id="{E61DDCC7-F028-0343-BC2E-ED65C79A4DE6}">
    <text>用中国的数据处理方式重新导出</text>
  </threadedComment>
  <threadedComment ref="Q1" dT="2025-09-05T06:02:25.68" personId="{B3F5CB76-CBF6-E746-97B0-05CF5817A4CE}" id="{30159C24-3B5E-5142-898A-C3E8BD383B1D}">
    <text>用中国数据的处理方式重新导出的</text>
  </threadedComment>
  <threadedComment ref="S1" dT="2025-04-20T13:21:59.91" personId="{B3F5CB76-CBF6-E746-97B0-05CF5817A4CE}" id="{72051434-3255-7845-BDE2-68441B780F3B}">
    <text>本车按照自己写的导出数据，距离再减去64.2m
危险按照新导出的CoPosition
计算出来的结果</text>
  </threadedComment>
  <threadedComment ref="S187" dT="2025-04-21T08:38:58.64" personId="{B3F5CB76-CBF6-E746-97B0-05CF5817A4CE}" id="{023204F2-B836-C241-8467-9C9334758113}">
    <text>目前是第一次松油门值变小的点，算出来是6.90489539，但是分类中松油门不知道能不能算反应，因为这样的话manual都要重新处理，所以暂时处理为无反应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06-09T07:42:40.55" personId="{B3F5CB76-CBF6-E746-97B0-05CF5817A4CE}" id="{B2F76C59-B24E-C440-8937-AAFC2B7B2564}">
    <text>ScenarioSequenceWithoutS5</text>
  </threadedComment>
  <threadedComment ref="L1" dT="2025-04-22T08:39:47.78" personId="{B3F5CB76-CBF6-E746-97B0-05CF5817A4CE}" id="{52C78237-68D4-324E-8D0F-072A0730307E}">
    <text>S5-三停住车车，因为没有移动的刺激，所以从出现开始打标</text>
  </threadedComment>
  <threadedComment ref="N1" dT="2025-06-17T08:59:35.73" personId="{B3F5CB76-CBF6-E746-97B0-05CF5817A4CE}" id="{1091DB35-884A-C745-BFB8-3AA661D562C2}">
    <text>两只眼睛中有一只大于60的时间比例</text>
  </threadedComment>
  <threadedComment ref="O1" dT="2025-06-03T12:59:33.11" personId="{B3F5CB76-CBF6-E746-97B0-05CF5817A4CE}" id="{64DC5577-83A5-C241-A605-389EBA5085C6}">
    <text>三类数据：
1. 空着的是无效的数据（/）或未打标的数据
2. 红色的是负数
3. 没看到的目前记为了miss</text>
  </threadedComment>
  <threadedComment ref="P1" dT="2025-06-03T12:59:33.11" personId="{B3F5CB76-CBF6-E746-97B0-05CF5817A4CE}" id="{F3FAAB20-7E0F-2C4F-A7F1-F60706522D21}">
    <text>三类数据：
1. 空着的是无效的数据（/）或未打标的数据
2. 红色的是负数
3. 没看到的目前记为了miss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0BB3-2A72-E149-8E48-AA7B3968FDBF}">
  <sheetPr codeName="Sheet1"/>
  <dimension ref="A1:L39"/>
  <sheetViews>
    <sheetView tabSelected="1" zoomScale="84" workbookViewId="0">
      <selection activeCell="H16" sqref="H16"/>
    </sheetView>
  </sheetViews>
  <sheetFormatPr baseColWidth="10" defaultColWidth="18.33203125" defaultRowHeight="21" customHeight="1"/>
  <sheetData>
    <row r="1" spans="1:12" ht="21" customHeight="1">
      <c r="A1" s="9" t="s">
        <v>1</v>
      </c>
      <c r="B1" s="10" t="s">
        <v>463</v>
      </c>
      <c r="C1" s="10" t="s">
        <v>72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402</v>
      </c>
      <c r="I1" s="10" t="s">
        <v>78</v>
      </c>
      <c r="J1" s="10" t="s">
        <v>79</v>
      </c>
      <c r="K1" s="10" t="s">
        <v>80</v>
      </c>
      <c r="L1" s="10" t="s">
        <v>81</v>
      </c>
    </row>
    <row r="2" spans="1:12" ht="21" customHeight="1">
      <c r="A2" s="11" t="s">
        <v>56</v>
      </c>
      <c r="B2" s="12" t="s">
        <v>82</v>
      </c>
      <c r="C2" s="12">
        <v>52</v>
      </c>
      <c r="D2" s="12" t="s">
        <v>83</v>
      </c>
      <c r="E2" s="13">
        <v>0.25</v>
      </c>
      <c r="F2" s="13">
        <v>0.5</v>
      </c>
      <c r="G2" s="12">
        <v>6</v>
      </c>
      <c r="H2" s="12">
        <v>4000</v>
      </c>
      <c r="I2" s="12">
        <v>22</v>
      </c>
      <c r="J2" s="12" t="s">
        <v>84</v>
      </c>
      <c r="K2" s="12"/>
      <c r="L2" s="12"/>
    </row>
    <row r="3" spans="1:12" ht="21" customHeight="1">
      <c r="A3" s="11" t="s">
        <v>88</v>
      </c>
      <c r="B3" s="12" t="s">
        <v>82</v>
      </c>
      <c r="C3" s="12">
        <v>27</v>
      </c>
      <c r="D3" s="12" t="s">
        <v>87</v>
      </c>
      <c r="E3" s="13">
        <v>0.30208333333333331</v>
      </c>
      <c r="F3" s="13">
        <v>0.60416666666666663</v>
      </c>
      <c r="G3" s="12">
        <v>7.25</v>
      </c>
      <c r="H3" s="12">
        <v>5000</v>
      </c>
      <c r="I3" s="12">
        <v>8</v>
      </c>
      <c r="J3" s="12" t="s">
        <v>84</v>
      </c>
      <c r="K3" s="12"/>
      <c r="L3" s="12"/>
    </row>
    <row r="4" spans="1:12" ht="21" customHeight="1">
      <c r="A4" s="11" t="s">
        <v>86</v>
      </c>
      <c r="B4" s="12" t="s">
        <v>82</v>
      </c>
      <c r="C4" s="12">
        <v>40</v>
      </c>
      <c r="D4" s="12" t="s">
        <v>87</v>
      </c>
      <c r="E4" s="13">
        <v>0.1388888888888889</v>
      </c>
      <c r="F4" s="13">
        <v>0.5</v>
      </c>
      <c r="G4" s="12">
        <v>8.6666666669999994</v>
      </c>
      <c r="H4" s="12">
        <v>18000</v>
      </c>
      <c r="I4" s="12">
        <v>23</v>
      </c>
      <c r="J4" s="12" t="s">
        <v>84</v>
      </c>
      <c r="K4" s="12"/>
      <c r="L4" s="12"/>
    </row>
    <row r="5" spans="1:12" ht="21" customHeight="1">
      <c r="A5" s="11" t="s">
        <v>85</v>
      </c>
      <c r="B5" s="12" t="s">
        <v>82</v>
      </c>
      <c r="C5" s="12">
        <v>47</v>
      </c>
      <c r="D5" s="12" t="s">
        <v>83</v>
      </c>
      <c r="E5" s="13">
        <v>0.20833333333333334</v>
      </c>
      <c r="F5" s="13">
        <v>0.60416666666666663</v>
      </c>
      <c r="G5" s="12">
        <v>9.5</v>
      </c>
      <c r="H5" s="12">
        <v>6000</v>
      </c>
      <c r="I5" s="12">
        <v>16</v>
      </c>
      <c r="J5" s="12" t="s">
        <v>84</v>
      </c>
      <c r="K5" s="12"/>
      <c r="L5" s="12"/>
    </row>
    <row r="6" spans="1:12" ht="21" customHeight="1">
      <c r="A6" s="11" t="s">
        <v>89</v>
      </c>
      <c r="B6" s="12" t="s">
        <v>82</v>
      </c>
      <c r="C6" s="12">
        <v>51</v>
      </c>
      <c r="D6" s="12" t="s">
        <v>87</v>
      </c>
      <c r="E6" s="13">
        <v>0.27083333333333331</v>
      </c>
      <c r="F6" s="13">
        <v>0.60416666666666663</v>
      </c>
      <c r="G6" s="12">
        <v>8</v>
      </c>
      <c r="H6" s="12">
        <v>15000</v>
      </c>
      <c r="I6" s="12">
        <v>33</v>
      </c>
      <c r="J6" s="12" t="s">
        <v>84</v>
      </c>
      <c r="K6" s="12"/>
      <c r="L6" s="12"/>
    </row>
    <row r="7" spans="1:12" ht="21" customHeight="1">
      <c r="A7" s="11" t="s">
        <v>90</v>
      </c>
      <c r="B7" s="12" t="s">
        <v>82</v>
      </c>
      <c r="C7" s="12">
        <v>37</v>
      </c>
      <c r="D7" s="12" t="s">
        <v>83</v>
      </c>
      <c r="E7" s="13">
        <v>0.25</v>
      </c>
      <c r="F7" s="13">
        <v>0.5</v>
      </c>
      <c r="G7" s="12">
        <v>6</v>
      </c>
      <c r="H7" s="12">
        <v>6000</v>
      </c>
      <c r="I7" s="12">
        <v>19</v>
      </c>
      <c r="J7" s="12" t="s">
        <v>84</v>
      </c>
      <c r="K7" s="12"/>
      <c r="L7" s="12"/>
    </row>
    <row r="8" spans="1:12" ht="21" customHeight="1">
      <c r="A8" s="11" t="s">
        <v>91</v>
      </c>
      <c r="B8" s="12" t="s">
        <v>82</v>
      </c>
      <c r="C8" s="12">
        <v>30</v>
      </c>
      <c r="D8" s="12" t="s">
        <v>83</v>
      </c>
      <c r="E8" s="13">
        <v>0.26041666666666669</v>
      </c>
      <c r="F8" s="13">
        <v>0.60416666666666663</v>
      </c>
      <c r="G8" s="12">
        <v>8.25</v>
      </c>
      <c r="H8" s="12">
        <v>7000</v>
      </c>
      <c r="I8" s="12">
        <v>12</v>
      </c>
      <c r="J8" s="12" t="s">
        <v>84</v>
      </c>
      <c r="K8" s="12"/>
      <c r="L8" s="12"/>
    </row>
    <row r="9" spans="1:12" ht="21" customHeight="1">
      <c r="A9" s="11" t="s">
        <v>92</v>
      </c>
      <c r="B9" s="12" t="s">
        <v>82</v>
      </c>
      <c r="C9" s="12">
        <v>46</v>
      </c>
      <c r="D9" s="12" t="s">
        <v>87</v>
      </c>
      <c r="E9" s="13">
        <v>0.25</v>
      </c>
      <c r="F9" s="13">
        <v>0.5</v>
      </c>
      <c r="G9" s="12">
        <v>6</v>
      </c>
      <c r="H9" s="12">
        <v>7000</v>
      </c>
      <c r="I9" s="12">
        <v>25</v>
      </c>
      <c r="J9" s="12" t="s">
        <v>84</v>
      </c>
      <c r="K9" s="12"/>
      <c r="L9" s="12"/>
    </row>
    <row r="10" spans="1:12" ht="21" customHeight="1">
      <c r="A10" s="11" t="s">
        <v>93</v>
      </c>
      <c r="B10" s="12" t="s">
        <v>82</v>
      </c>
      <c r="C10" s="12">
        <v>35</v>
      </c>
      <c r="D10" s="12" t="s">
        <v>87</v>
      </c>
      <c r="E10" s="13">
        <v>0.375</v>
      </c>
      <c r="F10" s="13">
        <v>0.60416666666666663</v>
      </c>
      <c r="G10" s="12">
        <v>5.5</v>
      </c>
      <c r="H10" s="12">
        <v>5000</v>
      </c>
      <c r="I10" s="12">
        <v>17</v>
      </c>
      <c r="J10" s="12" t="s">
        <v>84</v>
      </c>
      <c r="K10" s="12"/>
      <c r="L10" s="12"/>
    </row>
    <row r="11" spans="1:12" ht="21" customHeight="1">
      <c r="A11" s="11" t="s">
        <v>94</v>
      </c>
      <c r="B11" s="12" t="s">
        <v>82</v>
      </c>
      <c r="C11" s="12">
        <v>42</v>
      </c>
      <c r="D11" s="12" t="s">
        <v>83</v>
      </c>
      <c r="E11" s="13">
        <v>0.28125</v>
      </c>
      <c r="F11" s="13">
        <v>0.5</v>
      </c>
      <c r="G11" s="12">
        <v>5.25</v>
      </c>
      <c r="H11" s="12">
        <v>6000</v>
      </c>
      <c r="I11" s="12">
        <v>23</v>
      </c>
      <c r="J11" s="12" t="s">
        <v>84</v>
      </c>
      <c r="K11" s="12"/>
      <c r="L11" s="12"/>
    </row>
    <row r="12" spans="1:12" ht="21" customHeight="1">
      <c r="A12" s="11" t="s">
        <v>95</v>
      </c>
      <c r="B12" s="12" t="s">
        <v>82</v>
      </c>
      <c r="C12" s="12">
        <v>42</v>
      </c>
      <c r="D12" s="12" t="s">
        <v>83</v>
      </c>
      <c r="E12" s="13">
        <v>0.27083333333333331</v>
      </c>
      <c r="F12" s="13">
        <v>0.5</v>
      </c>
      <c r="G12" s="12">
        <v>5.5</v>
      </c>
      <c r="H12" s="12">
        <v>5000</v>
      </c>
      <c r="I12" s="12">
        <v>23</v>
      </c>
      <c r="J12" s="12" t="s">
        <v>84</v>
      </c>
      <c r="K12" s="12"/>
      <c r="L12" s="12"/>
    </row>
    <row r="13" spans="1:12" ht="21" customHeight="1">
      <c r="A13" s="11" t="s">
        <v>96</v>
      </c>
      <c r="B13" s="12" t="s">
        <v>82</v>
      </c>
      <c r="C13" s="12">
        <v>61</v>
      </c>
      <c r="D13" s="12" t="s">
        <v>83</v>
      </c>
      <c r="E13" s="13">
        <v>0.28125</v>
      </c>
      <c r="F13" s="13">
        <v>0.60416666666666663</v>
      </c>
      <c r="G13" s="12">
        <v>7.75</v>
      </c>
      <c r="H13" s="12">
        <v>8000</v>
      </c>
      <c r="I13" s="12">
        <v>40</v>
      </c>
      <c r="J13" s="12" t="s">
        <v>84</v>
      </c>
      <c r="K13" s="12"/>
      <c r="L13" s="12"/>
    </row>
    <row r="14" spans="1:12" ht="21" customHeight="1">
      <c r="A14" s="11" t="s">
        <v>97</v>
      </c>
      <c r="B14" s="12" t="s">
        <v>82</v>
      </c>
      <c r="C14" s="12">
        <v>34</v>
      </c>
      <c r="D14" s="12" t="s">
        <v>87</v>
      </c>
      <c r="E14" s="13">
        <v>0.20833333333333334</v>
      </c>
      <c r="F14" s="13">
        <v>0.5</v>
      </c>
      <c r="G14" s="12">
        <v>7</v>
      </c>
      <c r="H14" s="12">
        <v>10000</v>
      </c>
      <c r="I14" s="12">
        <v>16</v>
      </c>
      <c r="J14" s="12" t="s">
        <v>84</v>
      </c>
      <c r="K14" s="12"/>
      <c r="L14" s="12"/>
    </row>
    <row r="15" spans="1:12" ht="21" customHeight="1">
      <c r="A15" s="11" t="s">
        <v>98</v>
      </c>
      <c r="B15" s="12" t="s">
        <v>82</v>
      </c>
      <c r="C15" s="12">
        <v>28</v>
      </c>
      <c r="D15" s="12" t="s">
        <v>87</v>
      </c>
      <c r="E15" s="13">
        <v>0.29166666666666669</v>
      </c>
      <c r="F15" s="13">
        <v>0.60416666666666663</v>
      </c>
      <c r="G15" s="12">
        <v>7.5</v>
      </c>
      <c r="H15" s="12">
        <v>10000</v>
      </c>
      <c r="I15" s="12">
        <v>3</v>
      </c>
      <c r="J15" s="12" t="s">
        <v>84</v>
      </c>
      <c r="K15" s="12"/>
      <c r="L15" s="12"/>
    </row>
    <row r="16" spans="1:12" ht="21" customHeight="1">
      <c r="A16" s="11" t="s">
        <v>99</v>
      </c>
      <c r="B16" s="12" t="s">
        <v>82</v>
      </c>
      <c r="C16" s="12">
        <v>49</v>
      </c>
      <c r="D16" s="12" t="s">
        <v>83</v>
      </c>
      <c r="E16" s="13">
        <v>0.29166666666666669</v>
      </c>
      <c r="F16" s="13">
        <v>0.5</v>
      </c>
      <c r="G16" s="12">
        <v>5</v>
      </c>
      <c r="H16" s="12">
        <v>5000</v>
      </c>
      <c r="I16" s="12">
        <v>21</v>
      </c>
      <c r="J16" s="12" t="s">
        <v>84</v>
      </c>
      <c r="K16" s="12"/>
      <c r="L16" s="12"/>
    </row>
    <row r="17" spans="1:12" ht="21" customHeight="1">
      <c r="A17" s="11" t="s">
        <v>100</v>
      </c>
      <c r="B17" s="12" t="s">
        <v>82</v>
      </c>
      <c r="C17" s="12">
        <v>38</v>
      </c>
      <c r="D17" s="12" t="s">
        <v>87</v>
      </c>
      <c r="E17" s="13">
        <v>0.27083333333333331</v>
      </c>
      <c r="F17" s="13">
        <v>0.60416666666666663</v>
      </c>
      <c r="G17" s="12">
        <v>8</v>
      </c>
      <c r="H17" s="12">
        <v>5000</v>
      </c>
      <c r="I17" s="12">
        <v>13</v>
      </c>
      <c r="J17" s="12" t="s">
        <v>84</v>
      </c>
      <c r="K17" s="12"/>
      <c r="L17" s="12"/>
    </row>
    <row r="18" spans="1:12" ht="21" customHeight="1">
      <c r="A18" s="11" t="s">
        <v>101</v>
      </c>
      <c r="B18" s="12" t="s">
        <v>82</v>
      </c>
      <c r="C18" s="12">
        <v>40</v>
      </c>
      <c r="D18" s="12" t="s">
        <v>87</v>
      </c>
      <c r="E18" s="13">
        <v>0.27083333333333331</v>
      </c>
      <c r="F18" s="13">
        <v>0.5</v>
      </c>
      <c r="G18" s="12">
        <v>5.5</v>
      </c>
      <c r="H18" s="12">
        <v>8000</v>
      </c>
      <c r="I18" s="12">
        <v>13</v>
      </c>
      <c r="J18" s="12" t="s">
        <v>84</v>
      </c>
      <c r="K18" s="12"/>
      <c r="L18" s="12"/>
    </row>
    <row r="19" spans="1:12" ht="21" customHeight="1">
      <c r="A19" s="11" t="s">
        <v>102</v>
      </c>
      <c r="B19" s="12" t="s">
        <v>82</v>
      </c>
      <c r="C19" s="12">
        <v>55</v>
      </c>
      <c r="D19" s="12" t="s">
        <v>87</v>
      </c>
      <c r="E19" s="13">
        <v>0.25</v>
      </c>
      <c r="F19" s="13">
        <v>0.60416666666666663</v>
      </c>
      <c r="G19" s="12">
        <v>8.5</v>
      </c>
      <c r="H19" s="12">
        <v>6000</v>
      </c>
      <c r="I19" s="12">
        <v>38</v>
      </c>
      <c r="J19" s="12" t="s">
        <v>84</v>
      </c>
      <c r="K19" s="12"/>
      <c r="L19" s="12"/>
    </row>
    <row r="20" spans="1:12" ht="21" customHeight="1">
      <c r="A20" s="11" t="s">
        <v>103</v>
      </c>
      <c r="B20" s="12" t="s">
        <v>82</v>
      </c>
      <c r="C20" s="12">
        <v>47</v>
      </c>
      <c r="D20" s="12" t="s">
        <v>83</v>
      </c>
      <c r="E20" s="12" t="s">
        <v>104</v>
      </c>
      <c r="F20" s="13">
        <v>0.5</v>
      </c>
      <c r="G20" s="12">
        <v>7</v>
      </c>
      <c r="H20" s="12">
        <v>5000</v>
      </c>
      <c r="I20" s="12">
        <v>5</v>
      </c>
      <c r="J20" s="12" t="s">
        <v>84</v>
      </c>
      <c r="K20" s="12"/>
      <c r="L20" s="12"/>
    </row>
    <row r="21" spans="1:12" ht="21" customHeight="1">
      <c r="A21" s="14" t="s">
        <v>106</v>
      </c>
      <c r="B21" s="15" t="s">
        <v>65</v>
      </c>
      <c r="C21" s="17">
        <v>23</v>
      </c>
      <c r="D21" s="18" t="s">
        <v>87</v>
      </c>
      <c r="E21" s="16" t="s">
        <v>107</v>
      </c>
      <c r="F21" s="19">
        <v>0.375</v>
      </c>
      <c r="G21" s="15">
        <v>14</v>
      </c>
      <c r="H21" s="17">
        <v>10000</v>
      </c>
      <c r="I21" s="17">
        <v>4</v>
      </c>
      <c r="J21" s="17" t="s">
        <v>84</v>
      </c>
      <c r="K21" s="16" t="s">
        <v>108</v>
      </c>
      <c r="L21" s="16" t="s">
        <v>109</v>
      </c>
    </row>
    <row r="22" spans="1:12" ht="21" customHeight="1">
      <c r="A22" s="14" t="s">
        <v>105</v>
      </c>
      <c r="B22" s="15" t="s">
        <v>65</v>
      </c>
      <c r="C22" s="17">
        <v>40</v>
      </c>
      <c r="D22" s="18" t="s">
        <v>87</v>
      </c>
      <c r="E22" s="19">
        <v>0.625</v>
      </c>
      <c r="F22" s="19">
        <v>0.375</v>
      </c>
      <c r="G22" s="15">
        <v>18</v>
      </c>
      <c r="H22" s="17">
        <v>5000</v>
      </c>
      <c r="I22" s="17">
        <v>15</v>
      </c>
      <c r="J22" s="17" t="s">
        <v>84</v>
      </c>
      <c r="K22" s="19">
        <v>0.79166666666666663</v>
      </c>
      <c r="L22" s="19">
        <v>0.33333333333333331</v>
      </c>
    </row>
    <row r="23" spans="1:12" ht="21" customHeight="1">
      <c r="A23" s="14" t="s">
        <v>118</v>
      </c>
      <c r="B23" s="15" t="s">
        <v>65</v>
      </c>
      <c r="C23" s="20">
        <v>44</v>
      </c>
      <c r="D23" s="18" t="s">
        <v>87</v>
      </c>
      <c r="E23" s="16" t="s">
        <v>115</v>
      </c>
      <c r="F23" s="19">
        <v>0.375</v>
      </c>
      <c r="G23" s="15">
        <v>21</v>
      </c>
      <c r="H23" s="21">
        <v>10000</v>
      </c>
      <c r="I23" s="17">
        <v>21</v>
      </c>
      <c r="J23" s="17" t="s">
        <v>84</v>
      </c>
      <c r="K23" s="16" t="s">
        <v>108</v>
      </c>
      <c r="L23" s="16" t="s">
        <v>119</v>
      </c>
    </row>
    <row r="24" spans="1:12" ht="21" customHeight="1">
      <c r="A24" s="14" t="s">
        <v>110</v>
      </c>
      <c r="B24" s="15" t="s">
        <v>65</v>
      </c>
      <c r="C24" s="15">
        <v>48</v>
      </c>
      <c r="D24" s="15" t="s">
        <v>87</v>
      </c>
      <c r="E24" s="19">
        <v>0.70833333333333337</v>
      </c>
      <c r="F24" s="19">
        <v>0.375</v>
      </c>
      <c r="G24" s="15">
        <v>16</v>
      </c>
      <c r="H24" s="15">
        <v>6000</v>
      </c>
      <c r="I24" s="15">
        <v>10</v>
      </c>
      <c r="J24" s="17" t="s">
        <v>84</v>
      </c>
      <c r="K24" s="19">
        <v>0.83333333333333337</v>
      </c>
      <c r="L24" s="19">
        <v>0.33333333333333331</v>
      </c>
    </row>
    <row r="25" spans="1:12" ht="21" customHeight="1">
      <c r="A25" s="14" t="s">
        <v>120</v>
      </c>
      <c r="B25" s="15" t="s">
        <v>65</v>
      </c>
      <c r="C25" s="20">
        <v>38</v>
      </c>
      <c r="D25" s="18" t="s">
        <v>87</v>
      </c>
      <c r="E25" s="16" t="s">
        <v>115</v>
      </c>
      <c r="F25" s="19">
        <v>0.375</v>
      </c>
      <c r="G25" s="15">
        <v>21</v>
      </c>
      <c r="H25" s="17">
        <v>20000</v>
      </c>
      <c r="I25" s="17">
        <v>13</v>
      </c>
      <c r="J25" s="17" t="s">
        <v>84</v>
      </c>
      <c r="K25" s="16" t="s">
        <v>121</v>
      </c>
      <c r="L25" s="16" t="s">
        <v>122</v>
      </c>
    </row>
    <row r="26" spans="1:12" ht="21" customHeight="1">
      <c r="A26" s="14" t="s">
        <v>126</v>
      </c>
      <c r="B26" s="15" t="s">
        <v>65</v>
      </c>
      <c r="C26" s="17">
        <v>20</v>
      </c>
      <c r="D26" s="16" t="s">
        <v>87</v>
      </c>
      <c r="E26" s="16" t="s">
        <v>127</v>
      </c>
      <c r="F26" s="19">
        <v>0.33333333333333331</v>
      </c>
      <c r="G26" s="15">
        <v>19.5</v>
      </c>
      <c r="H26" s="20">
        <v>6000</v>
      </c>
      <c r="I26" s="20">
        <v>3</v>
      </c>
      <c r="J26" s="17" t="s">
        <v>84</v>
      </c>
      <c r="K26" s="16" t="s">
        <v>125</v>
      </c>
      <c r="L26" s="16" t="s">
        <v>109</v>
      </c>
    </row>
    <row r="27" spans="1:12" ht="21" customHeight="1">
      <c r="A27" s="14" t="s">
        <v>129</v>
      </c>
      <c r="B27" s="15" t="s">
        <v>65</v>
      </c>
      <c r="C27" s="15">
        <v>22</v>
      </c>
      <c r="D27" s="15" t="s">
        <v>83</v>
      </c>
      <c r="E27" s="15" t="s">
        <v>130</v>
      </c>
      <c r="F27" s="19">
        <v>0.35416666666666669</v>
      </c>
      <c r="G27" s="15">
        <v>18</v>
      </c>
      <c r="H27" s="15">
        <v>10000</v>
      </c>
      <c r="I27" s="15">
        <v>3</v>
      </c>
      <c r="J27" s="17" t="s">
        <v>84</v>
      </c>
      <c r="K27" s="19">
        <v>0.79166666666666663</v>
      </c>
      <c r="L27" s="19">
        <v>0.3125</v>
      </c>
    </row>
    <row r="28" spans="1:12" ht="21" customHeight="1">
      <c r="A28" s="14" t="s">
        <v>123</v>
      </c>
      <c r="B28" s="15" t="s">
        <v>65</v>
      </c>
      <c r="C28" s="20">
        <v>25</v>
      </c>
      <c r="D28" s="18" t="s">
        <v>83</v>
      </c>
      <c r="E28" s="16" t="s">
        <v>124</v>
      </c>
      <c r="F28" s="19">
        <v>0.33333333333333331</v>
      </c>
      <c r="G28" s="15">
        <v>21</v>
      </c>
      <c r="H28" s="17">
        <v>700</v>
      </c>
      <c r="I28" s="17">
        <v>3</v>
      </c>
      <c r="J28" s="17" t="s">
        <v>84</v>
      </c>
      <c r="K28" s="16" t="s">
        <v>125</v>
      </c>
      <c r="L28" s="16" t="s">
        <v>109</v>
      </c>
    </row>
    <row r="29" spans="1:12" ht="21" customHeight="1">
      <c r="A29" s="14" t="s">
        <v>132</v>
      </c>
      <c r="B29" s="15" t="s">
        <v>65</v>
      </c>
      <c r="C29" s="15">
        <v>64</v>
      </c>
      <c r="D29" s="16" t="s">
        <v>87</v>
      </c>
      <c r="E29" s="19">
        <v>0.64583333333333337</v>
      </c>
      <c r="F29" s="19">
        <v>0.33333333333333331</v>
      </c>
      <c r="G29" s="15">
        <v>16.5</v>
      </c>
      <c r="H29" s="20">
        <v>30000</v>
      </c>
      <c r="I29" s="15">
        <v>47</v>
      </c>
      <c r="J29" s="17" t="s">
        <v>133</v>
      </c>
      <c r="K29" s="19">
        <v>0.95000000000000007</v>
      </c>
      <c r="L29" s="19">
        <v>0.27083333333333331</v>
      </c>
    </row>
    <row r="30" spans="1:12" ht="21" customHeight="1">
      <c r="A30" s="14" t="s">
        <v>131</v>
      </c>
      <c r="B30" s="15" t="s">
        <v>65</v>
      </c>
      <c r="C30" s="15">
        <v>30</v>
      </c>
      <c r="D30" s="18" t="s">
        <v>87</v>
      </c>
      <c r="E30" s="19">
        <v>0.70833333333333337</v>
      </c>
      <c r="F30" s="19">
        <v>0.375</v>
      </c>
      <c r="G30" s="15">
        <v>16</v>
      </c>
      <c r="H30" s="17">
        <v>10000</v>
      </c>
      <c r="I30" s="15">
        <v>12</v>
      </c>
      <c r="J30" s="17" t="s">
        <v>84</v>
      </c>
      <c r="K30" s="19">
        <v>0.8125</v>
      </c>
      <c r="L30" s="19">
        <v>0.33333333333333331</v>
      </c>
    </row>
    <row r="31" spans="1:12" ht="21" customHeight="1">
      <c r="A31" s="14" t="s">
        <v>114</v>
      </c>
      <c r="B31" s="15" t="s">
        <v>65</v>
      </c>
      <c r="C31" s="20">
        <v>60</v>
      </c>
      <c r="D31" s="18" t="s">
        <v>87</v>
      </c>
      <c r="E31" s="16" t="s">
        <v>115</v>
      </c>
      <c r="F31" s="19">
        <v>0.33333333333333331</v>
      </c>
      <c r="G31" s="15">
        <v>20</v>
      </c>
      <c r="H31" s="17">
        <v>30000</v>
      </c>
      <c r="I31" s="17">
        <v>42</v>
      </c>
      <c r="J31" s="17" t="s">
        <v>84</v>
      </c>
      <c r="K31" s="16" t="s">
        <v>116</v>
      </c>
      <c r="L31" s="16" t="s">
        <v>117</v>
      </c>
    </row>
    <row r="32" spans="1:12" ht="21" customHeight="1">
      <c r="A32" s="14" t="s">
        <v>136</v>
      </c>
      <c r="B32" s="15" t="s">
        <v>65</v>
      </c>
      <c r="C32" s="15">
        <v>26</v>
      </c>
      <c r="D32" s="16" t="s">
        <v>87</v>
      </c>
      <c r="E32" s="19">
        <v>0.79166666666666663</v>
      </c>
      <c r="F32" s="19">
        <v>0.41666666666666669</v>
      </c>
      <c r="G32" s="15">
        <v>15</v>
      </c>
      <c r="H32" s="20">
        <v>14000</v>
      </c>
      <c r="I32" s="20">
        <v>3.4169999999999998</v>
      </c>
      <c r="J32" s="17" t="s">
        <v>84</v>
      </c>
      <c r="K32" s="16" t="s">
        <v>121</v>
      </c>
      <c r="L32" s="16" t="s">
        <v>137</v>
      </c>
    </row>
    <row r="33" spans="1:12" ht="21" customHeight="1">
      <c r="A33" s="14" t="s">
        <v>138</v>
      </c>
      <c r="B33" s="15" t="s">
        <v>65</v>
      </c>
      <c r="C33" s="15">
        <v>27</v>
      </c>
      <c r="D33" s="15" t="s">
        <v>87</v>
      </c>
      <c r="E33" s="19">
        <v>0.70833333333333337</v>
      </c>
      <c r="F33" s="19">
        <v>0.39583333333333331</v>
      </c>
      <c r="G33" s="15">
        <v>16.5</v>
      </c>
      <c r="H33" s="15">
        <v>5000</v>
      </c>
      <c r="I33" s="15">
        <v>2</v>
      </c>
      <c r="J33" s="17" t="s">
        <v>84</v>
      </c>
      <c r="K33" s="19">
        <v>0.79166666666666663</v>
      </c>
      <c r="L33" s="19">
        <v>0.29166666666666669</v>
      </c>
    </row>
    <row r="34" spans="1:12" ht="21" customHeight="1">
      <c r="A34" s="14" t="s">
        <v>111</v>
      </c>
      <c r="B34" s="15" t="s">
        <v>65</v>
      </c>
      <c r="C34" s="20">
        <v>53</v>
      </c>
      <c r="D34" s="18" t="s">
        <v>83</v>
      </c>
      <c r="E34" s="19">
        <v>0.70833333333333337</v>
      </c>
      <c r="F34" s="19">
        <v>0.375</v>
      </c>
      <c r="G34" s="15">
        <v>16</v>
      </c>
      <c r="H34" s="17">
        <v>2000</v>
      </c>
      <c r="I34" s="17">
        <v>36</v>
      </c>
      <c r="J34" s="17" t="s">
        <v>84</v>
      </c>
      <c r="K34" s="16" t="s">
        <v>112</v>
      </c>
      <c r="L34" s="16" t="s">
        <v>113</v>
      </c>
    </row>
    <row r="35" spans="1:12" ht="21" customHeight="1">
      <c r="A35" s="14" t="s">
        <v>134</v>
      </c>
      <c r="B35" s="15" t="s">
        <v>65</v>
      </c>
      <c r="C35" s="15">
        <v>27</v>
      </c>
      <c r="D35" s="16" t="s">
        <v>83</v>
      </c>
      <c r="E35" s="19">
        <v>0.65972222222222221</v>
      </c>
      <c r="F35" s="19">
        <v>0.375</v>
      </c>
      <c r="G35" s="15">
        <v>17.166666670000001</v>
      </c>
      <c r="H35" s="20">
        <v>10000</v>
      </c>
      <c r="I35" s="15">
        <v>10</v>
      </c>
      <c r="J35" s="17" t="s">
        <v>84</v>
      </c>
      <c r="K35" s="16" t="s">
        <v>112</v>
      </c>
      <c r="L35" s="19">
        <v>0.35416666666666669</v>
      </c>
    </row>
    <row r="36" spans="1:12" ht="21" customHeight="1">
      <c r="A36" s="14" t="s">
        <v>135</v>
      </c>
      <c r="B36" s="15" t="s">
        <v>65</v>
      </c>
      <c r="C36" s="15">
        <v>30</v>
      </c>
      <c r="D36" s="16" t="s">
        <v>83</v>
      </c>
      <c r="E36" s="19">
        <v>0.6875</v>
      </c>
      <c r="F36" s="19">
        <v>0.35416666666666669</v>
      </c>
      <c r="G36" s="15">
        <v>16</v>
      </c>
      <c r="H36" s="20">
        <v>10000</v>
      </c>
      <c r="I36" s="15">
        <v>12.83</v>
      </c>
      <c r="J36" s="17" t="s">
        <v>84</v>
      </c>
      <c r="K36" s="19">
        <v>0.82291666666666663</v>
      </c>
      <c r="L36" s="19">
        <v>0.33333333333333331</v>
      </c>
    </row>
    <row r="37" spans="1:12" ht="21" customHeight="1">
      <c r="A37" s="14" t="s">
        <v>128</v>
      </c>
      <c r="B37" s="15" t="s">
        <v>65</v>
      </c>
      <c r="C37" s="15">
        <v>40</v>
      </c>
      <c r="D37" s="16" t="s">
        <v>83</v>
      </c>
      <c r="E37" s="19">
        <v>0.28472222222222221</v>
      </c>
      <c r="F37" s="19">
        <v>0.375</v>
      </c>
      <c r="G37" s="15">
        <v>26.166666670000001</v>
      </c>
      <c r="H37" s="20">
        <v>10000</v>
      </c>
      <c r="I37" s="15">
        <v>23</v>
      </c>
      <c r="J37" s="17" t="s">
        <v>84</v>
      </c>
      <c r="K37" s="19">
        <v>0.83333333333333337</v>
      </c>
      <c r="L37" s="19">
        <v>0.35416666666666669</v>
      </c>
    </row>
    <row r="38" spans="1:12" ht="21" customHeight="1">
      <c r="A38" s="14" t="s">
        <v>69</v>
      </c>
      <c r="B38" s="15" t="s">
        <v>65</v>
      </c>
      <c r="C38" s="15">
        <v>25</v>
      </c>
      <c r="D38" s="15" t="s">
        <v>83</v>
      </c>
      <c r="E38" s="19">
        <v>0.70833333333333337</v>
      </c>
      <c r="F38" s="19">
        <v>0.375</v>
      </c>
      <c r="G38" s="15">
        <v>16</v>
      </c>
      <c r="H38" s="15">
        <v>12000</v>
      </c>
      <c r="I38" s="15">
        <v>3.5</v>
      </c>
      <c r="J38" s="15" t="s">
        <v>84</v>
      </c>
      <c r="K38" s="19">
        <v>0.91666666666666663</v>
      </c>
      <c r="L38" s="15" t="s">
        <v>137</v>
      </c>
    </row>
    <row r="39" spans="1:12" ht="21" customHeight="1">
      <c r="A39" s="22" t="s">
        <v>141</v>
      </c>
      <c r="B39" s="22" t="s">
        <v>66</v>
      </c>
      <c r="C39" s="15">
        <v>22</v>
      </c>
      <c r="D39" s="15" t="s">
        <v>142</v>
      </c>
      <c r="E39" s="15" t="s">
        <v>143</v>
      </c>
      <c r="F39" s="19">
        <v>0.375</v>
      </c>
      <c r="G39" s="15">
        <v>27</v>
      </c>
      <c r="H39" s="15">
        <v>12000</v>
      </c>
      <c r="I39" s="15">
        <v>3</v>
      </c>
      <c r="J39" s="15" t="s">
        <v>146</v>
      </c>
      <c r="K39" s="15" t="s">
        <v>144</v>
      </c>
      <c r="L39" s="15" t="s">
        <v>145</v>
      </c>
    </row>
  </sheetData>
  <sortState xmlns:xlrd2="http://schemas.microsoft.com/office/spreadsheetml/2017/richdata2" ref="A2:L39">
    <sortCondition ref="A2:A39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50E7-B2E8-534A-99DC-2F20AE5A9E37}">
  <sheetPr codeName="Sheet2"/>
  <dimension ref="A1:K39"/>
  <sheetViews>
    <sheetView workbookViewId="0">
      <selection activeCell="B1" sqref="B1"/>
    </sheetView>
  </sheetViews>
  <sheetFormatPr baseColWidth="10" defaultRowHeight="16"/>
  <cols>
    <col min="1" max="1" width="10.83203125" style="2"/>
    <col min="2" max="2" width="10.83203125" style="2" customWidth="1"/>
    <col min="3" max="16384" width="10.83203125" style="2"/>
  </cols>
  <sheetData>
    <row r="1" spans="1:11" s="1" customFormat="1">
      <c r="A1" s="1" t="s">
        <v>1</v>
      </c>
      <c r="B1" s="1" t="s">
        <v>464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71</v>
      </c>
    </row>
    <row r="2" spans="1:11" s="7" customFormat="1">
      <c r="A2" s="7" t="s">
        <v>0</v>
      </c>
      <c r="B2" s="7" t="s">
        <v>57</v>
      </c>
      <c r="C2" s="7">
        <v>1</v>
      </c>
      <c r="D2" s="7">
        <v>2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f>SUM(C2:J2)</f>
        <v>3</v>
      </c>
    </row>
    <row r="3" spans="1:11" s="7" customFormat="1">
      <c r="A3" s="7" t="s">
        <v>18</v>
      </c>
      <c r="B3" s="7" t="s">
        <v>57</v>
      </c>
      <c r="C3" s="7">
        <v>0</v>
      </c>
      <c r="D3" s="7">
        <v>1</v>
      </c>
      <c r="E3" s="7">
        <v>0</v>
      </c>
      <c r="F3" s="7">
        <v>0</v>
      </c>
      <c r="G3" s="7">
        <v>1</v>
      </c>
      <c r="H3" s="7">
        <v>0</v>
      </c>
      <c r="I3" s="7">
        <v>0</v>
      </c>
      <c r="J3" s="7">
        <v>0</v>
      </c>
      <c r="K3" s="7">
        <f t="shared" ref="K3:K39" si="0">SUM(C3:J3)</f>
        <v>2</v>
      </c>
    </row>
    <row r="4" spans="1:11" s="7" customFormat="1">
      <c r="A4" s="7" t="s">
        <v>19</v>
      </c>
      <c r="B4" s="7" t="s">
        <v>57</v>
      </c>
      <c r="C4" s="7">
        <v>0</v>
      </c>
      <c r="D4" s="7">
        <v>1</v>
      </c>
      <c r="E4" s="7">
        <v>0</v>
      </c>
      <c r="F4" s="7">
        <v>0</v>
      </c>
      <c r="G4" s="7">
        <v>2</v>
      </c>
      <c r="H4" s="7">
        <v>0</v>
      </c>
      <c r="I4" s="7">
        <v>1</v>
      </c>
      <c r="J4" s="7">
        <v>0</v>
      </c>
      <c r="K4" s="7">
        <f t="shared" si="0"/>
        <v>4</v>
      </c>
    </row>
    <row r="5" spans="1:11" s="7" customFormat="1">
      <c r="A5" s="7" t="s">
        <v>17</v>
      </c>
      <c r="B5" s="7" t="s">
        <v>57</v>
      </c>
      <c r="C5" s="7">
        <v>2</v>
      </c>
      <c r="D5" s="7">
        <v>1</v>
      </c>
      <c r="E5" s="7">
        <v>1</v>
      </c>
      <c r="F5" s="7">
        <v>1</v>
      </c>
      <c r="G5" s="7">
        <v>3</v>
      </c>
      <c r="H5" s="7">
        <v>0</v>
      </c>
      <c r="I5" s="7">
        <v>2</v>
      </c>
      <c r="J5" s="7">
        <v>0</v>
      </c>
      <c r="K5" s="7">
        <f t="shared" si="0"/>
        <v>10</v>
      </c>
    </row>
    <row r="6" spans="1:11" s="8" customFormat="1">
      <c r="A6" s="8" t="s">
        <v>24</v>
      </c>
      <c r="B6" s="8" t="s">
        <v>66</v>
      </c>
      <c r="C6" s="8">
        <v>0</v>
      </c>
      <c r="D6" s="8">
        <v>2</v>
      </c>
      <c r="E6" s="8">
        <v>1</v>
      </c>
      <c r="F6" s="8">
        <v>3</v>
      </c>
      <c r="G6" s="8">
        <v>2</v>
      </c>
      <c r="H6" s="8">
        <v>0</v>
      </c>
      <c r="I6" s="8">
        <v>1</v>
      </c>
      <c r="J6" s="8">
        <v>0</v>
      </c>
      <c r="K6" s="8">
        <f t="shared" si="0"/>
        <v>9</v>
      </c>
    </row>
    <row r="7" spans="1:11" s="7" customFormat="1">
      <c r="A7" s="7" t="s">
        <v>25</v>
      </c>
      <c r="B7" s="7" t="s">
        <v>57</v>
      </c>
      <c r="C7" s="7">
        <v>1</v>
      </c>
      <c r="D7" s="7">
        <v>1</v>
      </c>
      <c r="E7" s="7">
        <v>0</v>
      </c>
      <c r="F7" s="7">
        <v>1</v>
      </c>
      <c r="G7" s="7">
        <v>3</v>
      </c>
      <c r="H7" s="7">
        <v>0</v>
      </c>
      <c r="I7" s="7">
        <v>0</v>
      </c>
      <c r="J7" s="7">
        <v>0</v>
      </c>
      <c r="K7" s="7">
        <f t="shared" si="0"/>
        <v>6</v>
      </c>
    </row>
    <row r="8" spans="1:11" s="7" customFormat="1">
      <c r="A8" s="7" t="s">
        <v>26</v>
      </c>
      <c r="B8" s="7" t="s">
        <v>57</v>
      </c>
      <c r="C8" s="7">
        <v>1</v>
      </c>
      <c r="D8" s="7">
        <v>1</v>
      </c>
      <c r="E8" s="7">
        <v>0</v>
      </c>
      <c r="F8" s="7">
        <v>0</v>
      </c>
      <c r="G8" s="7">
        <v>1</v>
      </c>
      <c r="H8" s="7">
        <v>0</v>
      </c>
      <c r="I8" s="7">
        <v>0</v>
      </c>
      <c r="J8" s="7">
        <v>0</v>
      </c>
      <c r="K8" s="7">
        <f t="shared" si="0"/>
        <v>3</v>
      </c>
    </row>
    <row r="9" spans="1:11" s="7" customFormat="1">
      <c r="A9" s="7" t="s">
        <v>27</v>
      </c>
      <c r="B9" s="7" t="s">
        <v>57</v>
      </c>
      <c r="C9" s="7">
        <v>1</v>
      </c>
      <c r="D9" s="7">
        <v>1</v>
      </c>
      <c r="E9" s="7">
        <v>0</v>
      </c>
      <c r="F9" s="7">
        <v>1</v>
      </c>
      <c r="G9" s="7">
        <v>1</v>
      </c>
      <c r="H9" s="7">
        <v>0</v>
      </c>
      <c r="I9" s="7">
        <v>1</v>
      </c>
      <c r="J9" s="7">
        <v>0</v>
      </c>
      <c r="K9" s="7">
        <f t="shared" si="0"/>
        <v>5</v>
      </c>
    </row>
    <row r="10" spans="1:11" s="8" customFormat="1">
      <c r="A10" s="8" t="s">
        <v>28</v>
      </c>
      <c r="B10" s="8" t="s">
        <v>66</v>
      </c>
      <c r="C10" s="8">
        <v>1</v>
      </c>
      <c r="D10" s="8">
        <v>2</v>
      </c>
      <c r="E10" s="8">
        <v>0</v>
      </c>
      <c r="F10" s="8">
        <v>1</v>
      </c>
      <c r="G10" s="8">
        <v>3</v>
      </c>
      <c r="H10" s="8">
        <v>0</v>
      </c>
      <c r="I10" s="8">
        <v>1</v>
      </c>
      <c r="J10" s="8">
        <v>0</v>
      </c>
      <c r="K10" s="8">
        <f t="shared" si="0"/>
        <v>8</v>
      </c>
    </row>
    <row r="11" spans="1:11" s="7" customFormat="1">
      <c r="A11" s="7" t="s">
        <v>31</v>
      </c>
      <c r="B11" s="7" t="s">
        <v>57</v>
      </c>
      <c r="C11" s="7">
        <v>1</v>
      </c>
      <c r="D11" s="7">
        <v>1</v>
      </c>
      <c r="E11" s="7">
        <v>0</v>
      </c>
      <c r="F11" s="7">
        <v>1</v>
      </c>
      <c r="G11" s="7">
        <v>1</v>
      </c>
      <c r="H11" s="7">
        <v>0</v>
      </c>
      <c r="I11" s="7">
        <v>1</v>
      </c>
      <c r="J11" s="7">
        <v>0</v>
      </c>
      <c r="K11" s="7">
        <f t="shared" si="0"/>
        <v>5</v>
      </c>
    </row>
    <row r="12" spans="1:11" s="7" customFormat="1">
      <c r="A12" s="7" t="s">
        <v>32</v>
      </c>
      <c r="B12" s="7" t="s">
        <v>57</v>
      </c>
      <c r="C12" s="7">
        <v>2</v>
      </c>
      <c r="D12" s="7">
        <v>3</v>
      </c>
      <c r="E12" s="7">
        <v>0</v>
      </c>
      <c r="F12" s="7">
        <v>0</v>
      </c>
      <c r="G12" s="7">
        <v>3</v>
      </c>
      <c r="H12" s="7">
        <v>0</v>
      </c>
      <c r="I12" s="7">
        <v>1</v>
      </c>
      <c r="J12" s="7">
        <v>0</v>
      </c>
      <c r="K12" s="7">
        <f t="shared" si="0"/>
        <v>9</v>
      </c>
    </row>
    <row r="13" spans="1:11" s="8" customFormat="1">
      <c r="A13" s="8" t="s">
        <v>33</v>
      </c>
      <c r="B13" s="8" t="s">
        <v>66</v>
      </c>
      <c r="C13" s="8">
        <v>0</v>
      </c>
      <c r="D13" s="8">
        <v>1</v>
      </c>
      <c r="E13" s="8">
        <v>0</v>
      </c>
      <c r="F13" s="8">
        <v>1</v>
      </c>
      <c r="G13" s="8">
        <v>1</v>
      </c>
      <c r="H13" s="8">
        <v>0</v>
      </c>
      <c r="I13" s="8">
        <v>0</v>
      </c>
      <c r="J13" s="8">
        <v>0</v>
      </c>
      <c r="K13" s="8">
        <f t="shared" si="0"/>
        <v>3</v>
      </c>
    </row>
    <row r="14" spans="1:11" s="7" customFormat="1">
      <c r="A14" s="7" t="s">
        <v>34</v>
      </c>
      <c r="B14" s="7" t="s">
        <v>57</v>
      </c>
      <c r="C14" s="7">
        <v>1</v>
      </c>
      <c r="D14" s="7">
        <v>2</v>
      </c>
      <c r="E14" s="7">
        <v>1</v>
      </c>
      <c r="F14" s="7">
        <v>2</v>
      </c>
      <c r="G14" s="7">
        <v>2</v>
      </c>
      <c r="H14" s="7">
        <v>0</v>
      </c>
      <c r="I14" s="7">
        <v>1</v>
      </c>
      <c r="J14" s="7">
        <v>0</v>
      </c>
      <c r="K14" s="7">
        <f t="shared" si="0"/>
        <v>9</v>
      </c>
    </row>
    <row r="15" spans="1:11" s="8" customFormat="1">
      <c r="A15" s="8" t="s">
        <v>35</v>
      </c>
      <c r="B15" s="8" t="s">
        <v>66</v>
      </c>
      <c r="C15" s="8">
        <v>2</v>
      </c>
      <c r="D15" s="8">
        <v>1</v>
      </c>
      <c r="E15" s="8">
        <v>2</v>
      </c>
      <c r="F15" s="8">
        <v>3</v>
      </c>
      <c r="G15" s="8">
        <v>2</v>
      </c>
      <c r="H15" s="8">
        <v>0</v>
      </c>
      <c r="I15" s="8">
        <v>1</v>
      </c>
      <c r="J15" s="8">
        <v>0</v>
      </c>
      <c r="K15" s="8">
        <f t="shared" si="0"/>
        <v>11</v>
      </c>
    </row>
    <row r="16" spans="1:11" s="7" customFormat="1">
      <c r="A16" s="7" t="s">
        <v>36</v>
      </c>
      <c r="B16" s="7" t="s">
        <v>57</v>
      </c>
      <c r="C16" s="7">
        <v>1</v>
      </c>
      <c r="D16" s="7">
        <v>2</v>
      </c>
      <c r="E16" s="7">
        <v>1</v>
      </c>
      <c r="F16" s="7">
        <v>0</v>
      </c>
      <c r="G16" s="7">
        <v>2</v>
      </c>
      <c r="H16" s="7">
        <v>0</v>
      </c>
      <c r="I16" s="7">
        <v>0</v>
      </c>
      <c r="J16" s="7">
        <v>0</v>
      </c>
      <c r="K16" s="7">
        <f t="shared" si="0"/>
        <v>6</v>
      </c>
    </row>
    <row r="17" spans="1:11" s="7" customFormat="1">
      <c r="A17" s="7" t="s">
        <v>37</v>
      </c>
      <c r="B17" s="7" t="s">
        <v>57</v>
      </c>
      <c r="C17" s="7">
        <v>2</v>
      </c>
      <c r="D17" s="7">
        <v>1</v>
      </c>
      <c r="E17" s="7">
        <v>1</v>
      </c>
      <c r="F17" s="7">
        <v>1</v>
      </c>
      <c r="G17" s="7">
        <v>1</v>
      </c>
      <c r="H17" s="7">
        <v>0</v>
      </c>
      <c r="I17" s="7">
        <v>0</v>
      </c>
      <c r="J17" s="7">
        <v>0</v>
      </c>
      <c r="K17" s="7">
        <f t="shared" si="0"/>
        <v>6</v>
      </c>
    </row>
    <row r="18" spans="1:11" s="8" customFormat="1">
      <c r="A18" s="8" t="s">
        <v>38</v>
      </c>
      <c r="B18" s="8" t="s">
        <v>66</v>
      </c>
      <c r="C18" s="8">
        <v>1</v>
      </c>
      <c r="D18" s="8">
        <v>1</v>
      </c>
      <c r="E18" s="8">
        <v>1</v>
      </c>
      <c r="F18" s="8">
        <v>1</v>
      </c>
      <c r="G18" s="8">
        <v>2</v>
      </c>
      <c r="H18" s="8">
        <v>0</v>
      </c>
      <c r="I18" s="8">
        <v>1</v>
      </c>
      <c r="J18" s="8">
        <v>0</v>
      </c>
      <c r="K18" s="8">
        <f t="shared" si="0"/>
        <v>7</v>
      </c>
    </row>
    <row r="19" spans="1:11" s="7" customFormat="1">
      <c r="A19" s="7" t="s">
        <v>39</v>
      </c>
      <c r="B19" s="7" t="s">
        <v>57</v>
      </c>
      <c r="C19" s="7">
        <v>2</v>
      </c>
      <c r="D19" s="7">
        <v>2</v>
      </c>
      <c r="E19" s="7">
        <v>0</v>
      </c>
      <c r="F19" s="7">
        <v>1</v>
      </c>
      <c r="G19" s="7">
        <v>3</v>
      </c>
      <c r="H19" s="7">
        <v>0</v>
      </c>
      <c r="I19" s="7">
        <v>1</v>
      </c>
      <c r="J19" s="7">
        <v>0</v>
      </c>
      <c r="K19" s="7">
        <f t="shared" si="0"/>
        <v>9</v>
      </c>
    </row>
    <row r="20" spans="1:11" s="7" customFormat="1">
      <c r="A20" s="7" t="s">
        <v>40</v>
      </c>
      <c r="B20" s="7" t="s">
        <v>57</v>
      </c>
      <c r="C20" s="7">
        <v>1</v>
      </c>
      <c r="D20" s="7">
        <v>2</v>
      </c>
      <c r="E20" s="7">
        <v>0</v>
      </c>
      <c r="F20" s="7">
        <v>2</v>
      </c>
      <c r="G20" s="7">
        <v>3</v>
      </c>
      <c r="H20" s="7">
        <v>0</v>
      </c>
      <c r="I20" s="7">
        <v>1</v>
      </c>
      <c r="J20" s="7">
        <v>0</v>
      </c>
      <c r="K20" s="7">
        <f t="shared" si="0"/>
        <v>9</v>
      </c>
    </row>
    <row r="21" spans="1:11" s="7" customFormat="1">
      <c r="A21" s="7" t="s">
        <v>41</v>
      </c>
      <c r="B21" s="7" t="s">
        <v>57</v>
      </c>
      <c r="C21" s="7">
        <v>1</v>
      </c>
      <c r="D21" s="7">
        <v>1</v>
      </c>
      <c r="E21" s="7">
        <v>0</v>
      </c>
      <c r="F21" s="7">
        <v>0</v>
      </c>
      <c r="G21" s="7">
        <v>2</v>
      </c>
      <c r="H21" s="7">
        <v>0</v>
      </c>
      <c r="I21" s="7">
        <v>0</v>
      </c>
      <c r="J21" s="7">
        <v>0</v>
      </c>
      <c r="K21" s="7">
        <f t="shared" si="0"/>
        <v>4</v>
      </c>
    </row>
    <row r="22" spans="1:11" s="7" customFormat="1">
      <c r="A22" s="7" t="s">
        <v>42</v>
      </c>
      <c r="B22" s="7" t="s">
        <v>57</v>
      </c>
      <c r="C22" s="7">
        <v>2</v>
      </c>
      <c r="D22" s="7">
        <v>1</v>
      </c>
      <c r="E22" s="7">
        <v>0</v>
      </c>
      <c r="F22" s="7">
        <v>2</v>
      </c>
      <c r="G22" s="7">
        <v>2</v>
      </c>
      <c r="H22" s="7">
        <v>0</v>
      </c>
      <c r="I22" s="7">
        <v>1</v>
      </c>
      <c r="J22" s="7">
        <v>0</v>
      </c>
      <c r="K22" s="7">
        <f t="shared" si="0"/>
        <v>8</v>
      </c>
    </row>
    <row r="23" spans="1:11" s="7" customFormat="1">
      <c r="A23" s="7" t="s">
        <v>43</v>
      </c>
      <c r="B23" s="7" t="s">
        <v>57</v>
      </c>
      <c r="C23" s="7">
        <v>1</v>
      </c>
      <c r="D23" s="7">
        <v>1</v>
      </c>
      <c r="E23" s="7">
        <v>1</v>
      </c>
      <c r="F23" s="7">
        <v>1</v>
      </c>
      <c r="G23" s="7">
        <v>2</v>
      </c>
      <c r="H23" s="7">
        <v>0</v>
      </c>
      <c r="I23" s="7">
        <v>1</v>
      </c>
      <c r="J23" s="7">
        <v>0</v>
      </c>
      <c r="K23" s="7">
        <f t="shared" si="0"/>
        <v>7</v>
      </c>
    </row>
    <row r="24" spans="1:11" s="7" customFormat="1">
      <c r="A24" s="7" t="s">
        <v>44</v>
      </c>
      <c r="B24" s="7" t="s">
        <v>57</v>
      </c>
      <c r="C24" s="7">
        <v>2</v>
      </c>
      <c r="D24" s="7">
        <v>2</v>
      </c>
      <c r="E24" s="7">
        <v>1</v>
      </c>
      <c r="F24" s="7">
        <v>2</v>
      </c>
      <c r="G24" s="7">
        <v>3</v>
      </c>
      <c r="H24" s="7">
        <v>0</v>
      </c>
      <c r="I24" s="7">
        <v>1</v>
      </c>
      <c r="J24" s="7">
        <v>0</v>
      </c>
      <c r="K24" s="7">
        <f t="shared" si="0"/>
        <v>11</v>
      </c>
    </row>
    <row r="25" spans="1:11" s="8" customFormat="1">
      <c r="A25" s="8" t="s">
        <v>45</v>
      </c>
      <c r="B25" s="8" t="s">
        <v>66</v>
      </c>
      <c r="C25" s="8">
        <v>1</v>
      </c>
      <c r="D25" s="8">
        <v>3</v>
      </c>
      <c r="E25" s="8">
        <v>1</v>
      </c>
      <c r="F25" s="8">
        <v>0</v>
      </c>
      <c r="G25" s="8">
        <v>2</v>
      </c>
      <c r="H25" s="8">
        <v>0</v>
      </c>
      <c r="I25" s="8">
        <v>0</v>
      </c>
      <c r="J25" s="8">
        <v>0</v>
      </c>
      <c r="K25" s="8">
        <f t="shared" si="0"/>
        <v>7</v>
      </c>
    </row>
    <row r="26" spans="1:11" s="8" customFormat="1">
      <c r="A26" s="8" t="s">
        <v>46</v>
      </c>
      <c r="B26" s="8" t="s">
        <v>66</v>
      </c>
      <c r="C26" s="8">
        <v>1</v>
      </c>
      <c r="D26" s="8">
        <v>2</v>
      </c>
      <c r="E26" s="8">
        <v>1</v>
      </c>
      <c r="F26" s="8">
        <v>1</v>
      </c>
      <c r="G26" s="8">
        <v>3</v>
      </c>
      <c r="H26" s="8">
        <v>0</v>
      </c>
      <c r="I26" s="8">
        <v>1</v>
      </c>
      <c r="J26" s="8">
        <v>1</v>
      </c>
      <c r="K26" s="8">
        <f t="shared" si="0"/>
        <v>10</v>
      </c>
    </row>
    <row r="27" spans="1:11" s="8" customFormat="1">
      <c r="A27" s="8" t="s">
        <v>47</v>
      </c>
      <c r="B27" s="8" t="s">
        <v>66</v>
      </c>
      <c r="C27" s="8">
        <v>0</v>
      </c>
      <c r="D27" s="8">
        <v>1</v>
      </c>
      <c r="E27" s="8">
        <v>0</v>
      </c>
      <c r="F27" s="8">
        <v>2</v>
      </c>
      <c r="G27" s="8">
        <v>2</v>
      </c>
      <c r="H27" s="8">
        <v>0</v>
      </c>
      <c r="I27" s="8">
        <v>1</v>
      </c>
      <c r="J27" s="8">
        <v>1</v>
      </c>
      <c r="K27" s="8">
        <f t="shared" si="0"/>
        <v>7</v>
      </c>
    </row>
    <row r="28" spans="1:11" s="8" customFormat="1">
      <c r="A28" s="8" t="s">
        <v>48</v>
      </c>
      <c r="B28" s="8" t="s">
        <v>66</v>
      </c>
      <c r="C28" s="8">
        <v>0</v>
      </c>
      <c r="D28" s="8">
        <v>1</v>
      </c>
      <c r="E28" s="8">
        <v>0</v>
      </c>
      <c r="F28" s="8">
        <v>0</v>
      </c>
      <c r="G28" s="8">
        <v>1</v>
      </c>
      <c r="H28" s="8">
        <v>0</v>
      </c>
      <c r="I28" s="8">
        <v>0</v>
      </c>
      <c r="J28" s="8">
        <v>0</v>
      </c>
      <c r="K28" s="8">
        <f t="shared" si="0"/>
        <v>2</v>
      </c>
    </row>
    <row r="29" spans="1:11" s="8" customFormat="1">
      <c r="A29" s="8" t="s">
        <v>49</v>
      </c>
      <c r="B29" s="8" t="s">
        <v>66</v>
      </c>
      <c r="C29" s="8">
        <v>0</v>
      </c>
      <c r="D29" s="8">
        <v>1</v>
      </c>
      <c r="E29" s="8">
        <v>0</v>
      </c>
      <c r="F29" s="8">
        <v>0</v>
      </c>
      <c r="G29" s="8">
        <v>1</v>
      </c>
      <c r="H29" s="8">
        <v>0</v>
      </c>
      <c r="I29" s="8">
        <v>1</v>
      </c>
      <c r="J29" s="8">
        <v>0</v>
      </c>
      <c r="K29" s="8">
        <f t="shared" si="0"/>
        <v>3</v>
      </c>
    </row>
    <row r="30" spans="1:11" s="8" customFormat="1">
      <c r="A30" s="8" t="s">
        <v>59</v>
      </c>
      <c r="B30" s="8" t="s">
        <v>66</v>
      </c>
      <c r="C30" s="8">
        <v>3</v>
      </c>
      <c r="D30" s="8">
        <v>3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f t="shared" si="0"/>
        <v>8</v>
      </c>
    </row>
    <row r="31" spans="1:11" s="8" customFormat="1">
      <c r="A31" s="8" t="s">
        <v>60</v>
      </c>
      <c r="B31" s="8" t="s">
        <v>66</v>
      </c>
      <c r="C31" s="8">
        <v>3</v>
      </c>
      <c r="D31" s="8">
        <v>3</v>
      </c>
      <c r="E31" s="8">
        <v>1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  <c r="K31" s="8">
        <f t="shared" si="0"/>
        <v>8</v>
      </c>
    </row>
    <row r="32" spans="1:11" s="8" customFormat="1">
      <c r="A32" s="8" t="s">
        <v>61</v>
      </c>
      <c r="B32" s="8" t="s">
        <v>66</v>
      </c>
      <c r="C32" s="8">
        <v>1</v>
      </c>
      <c r="D32" s="8">
        <v>2</v>
      </c>
      <c r="E32" s="8">
        <v>0</v>
      </c>
      <c r="F32" s="8">
        <v>0</v>
      </c>
      <c r="G32" s="8">
        <v>3</v>
      </c>
      <c r="H32" s="8">
        <v>0</v>
      </c>
      <c r="I32" s="8">
        <v>2</v>
      </c>
      <c r="J32" s="8">
        <v>0</v>
      </c>
      <c r="K32" s="8">
        <f t="shared" si="0"/>
        <v>8</v>
      </c>
    </row>
    <row r="33" spans="1:11" s="8" customFormat="1">
      <c r="A33" s="8" t="s">
        <v>62</v>
      </c>
      <c r="B33" s="8" t="s">
        <v>66</v>
      </c>
      <c r="C33" s="8">
        <v>1</v>
      </c>
      <c r="D33" s="8">
        <v>1</v>
      </c>
      <c r="E33" s="8">
        <v>0</v>
      </c>
      <c r="F33" s="8">
        <v>1</v>
      </c>
      <c r="G33" s="8">
        <v>2</v>
      </c>
      <c r="H33" s="8">
        <v>0</v>
      </c>
      <c r="I33" s="8">
        <v>0</v>
      </c>
      <c r="J33" s="8">
        <v>0</v>
      </c>
      <c r="K33" s="8">
        <f t="shared" si="0"/>
        <v>5</v>
      </c>
    </row>
    <row r="34" spans="1:11" s="8" customFormat="1">
      <c r="A34" s="8" t="s">
        <v>63</v>
      </c>
      <c r="B34" s="8" t="s">
        <v>66</v>
      </c>
      <c r="C34" s="8">
        <v>2</v>
      </c>
      <c r="D34" s="8">
        <v>3</v>
      </c>
      <c r="E34" s="8">
        <v>0</v>
      </c>
      <c r="F34" s="8">
        <v>1</v>
      </c>
      <c r="G34" s="8">
        <v>3</v>
      </c>
      <c r="H34" s="8">
        <v>0</v>
      </c>
      <c r="I34" s="8">
        <v>0</v>
      </c>
      <c r="J34" s="8">
        <v>0</v>
      </c>
      <c r="K34" s="8">
        <f t="shared" si="0"/>
        <v>9</v>
      </c>
    </row>
    <row r="35" spans="1:11" s="7" customFormat="1">
      <c r="A35" s="7" t="s">
        <v>64</v>
      </c>
      <c r="B35" s="7" t="s">
        <v>57</v>
      </c>
      <c r="C35" s="7">
        <v>0</v>
      </c>
      <c r="D35" s="7">
        <v>0</v>
      </c>
      <c r="E35" s="7">
        <v>0</v>
      </c>
      <c r="F35" s="7">
        <v>1</v>
      </c>
      <c r="G35" s="7">
        <v>3</v>
      </c>
      <c r="H35" s="7">
        <v>0</v>
      </c>
      <c r="I35" s="7">
        <v>0</v>
      </c>
      <c r="J35" s="7">
        <v>0</v>
      </c>
      <c r="K35" s="7">
        <f t="shared" si="0"/>
        <v>4</v>
      </c>
    </row>
    <row r="36" spans="1:11" s="8" customFormat="1">
      <c r="A36" s="8" t="s">
        <v>67</v>
      </c>
      <c r="B36" s="8" t="s">
        <v>66</v>
      </c>
      <c r="C36" s="8">
        <v>0</v>
      </c>
      <c r="D36" s="8">
        <v>0</v>
      </c>
      <c r="E36" s="8">
        <v>0</v>
      </c>
      <c r="F36" s="8">
        <v>0</v>
      </c>
      <c r="G36" s="8">
        <v>1</v>
      </c>
      <c r="H36" s="8">
        <v>0</v>
      </c>
      <c r="I36" s="8">
        <v>0</v>
      </c>
      <c r="J36" s="8">
        <v>0</v>
      </c>
      <c r="K36" s="8">
        <f t="shared" si="0"/>
        <v>1</v>
      </c>
    </row>
    <row r="37" spans="1:11" s="8" customFormat="1">
      <c r="A37" s="8" t="s">
        <v>68</v>
      </c>
      <c r="B37" s="8" t="s">
        <v>66</v>
      </c>
      <c r="C37" s="8">
        <v>0</v>
      </c>
      <c r="D37" s="8">
        <v>1</v>
      </c>
      <c r="E37" s="8">
        <v>0</v>
      </c>
      <c r="F37" s="8">
        <v>0</v>
      </c>
      <c r="G37" s="8">
        <v>1</v>
      </c>
      <c r="H37" s="8">
        <v>0</v>
      </c>
      <c r="I37" s="8">
        <v>0</v>
      </c>
      <c r="J37" s="8">
        <v>0</v>
      </c>
      <c r="K37" s="8">
        <f t="shared" si="0"/>
        <v>2</v>
      </c>
    </row>
    <row r="38" spans="1:11" s="8" customFormat="1">
      <c r="A38" s="8" t="s">
        <v>70</v>
      </c>
      <c r="B38" s="8" t="s">
        <v>66</v>
      </c>
      <c r="C38" s="8">
        <v>3</v>
      </c>
      <c r="D38" s="8">
        <v>2</v>
      </c>
      <c r="E38" s="8">
        <v>2</v>
      </c>
      <c r="F38" s="8">
        <v>1</v>
      </c>
      <c r="G38" s="8">
        <v>3</v>
      </c>
      <c r="H38" s="8">
        <v>0</v>
      </c>
      <c r="I38" s="8">
        <v>3</v>
      </c>
      <c r="J38" s="8">
        <v>1</v>
      </c>
      <c r="K38" s="8">
        <f t="shared" si="0"/>
        <v>15</v>
      </c>
    </row>
    <row r="39" spans="1:11" s="8" customFormat="1">
      <c r="A39" s="8" t="s">
        <v>141</v>
      </c>
      <c r="B39" s="8" t="s">
        <v>66</v>
      </c>
      <c r="C39" s="8">
        <v>0</v>
      </c>
      <c r="D39" s="8">
        <v>1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0</v>
      </c>
      <c r="K39" s="8">
        <f t="shared" si="0"/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E56E-B7A1-5A44-82CB-1B690FF1CAF9}">
  <sheetPr codeName="Sheet3"/>
  <dimension ref="A1:G229"/>
  <sheetViews>
    <sheetView workbookViewId="0">
      <selection activeCell="B1" sqref="B1"/>
    </sheetView>
  </sheetViews>
  <sheetFormatPr baseColWidth="10" defaultRowHeight="16"/>
  <cols>
    <col min="1" max="3" width="10.83203125" style="3"/>
    <col min="4" max="4" width="13.33203125" style="3" customWidth="1"/>
    <col min="5" max="16384" width="10.83203125" style="3"/>
  </cols>
  <sheetData>
    <row r="1" spans="1:7" s="4" customFormat="1">
      <c r="A1" s="4" t="s">
        <v>1</v>
      </c>
      <c r="B1" s="1" t="s">
        <v>464</v>
      </c>
      <c r="C1" s="4" t="s">
        <v>23</v>
      </c>
      <c r="D1" s="4" t="s">
        <v>12</v>
      </c>
      <c r="E1" s="4" t="s">
        <v>13</v>
      </c>
      <c r="F1" s="4" t="s">
        <v>139</v>
      </c>
      <c r="G1" s="4" t="s">
        <v>140</v>
      </c>
    </row>
    <row r="2" spans="1:7" s="6" customFormat="1">
      <c r="A2" s="6" t="s">
        <v>0</v>
      </c>
      <c r="B2" s="6" t="s">
        <v>57</v>
      </c>
      <c r="C2" s="6">
        <v>1</v>
      </c>
      <c r="D2" s="6" t="s">
        <v>14</v>
      </c>
      <c r="E2" s="6" t="s">
        <v>10</v>
      </c>
      <c r="F2" s="6">
        <v>2</v>
      </c>
      <c r="G2" s="6">
        <v>3</v>
      </c>
    </row>
    <row r="3" spans="1:7" s="6" customFormat="1">
      <c r="A3" s="6" t="s">
        <v>0</v>
      </c>
      <c r="B3" s="6" t="s">
        <v>57</v>
      </c>
      <c r="C3" s="6">
        <v>1</v>
      </c>
      <c r="D3" s="6" t="s">
        <v>14</v>
      </c>
      <c r="E3" s="6" t="s">
        <v>11</v>
      </c>
      <c r="F3" s="6">
        <v>4</v>
      </c>
      <c r="G3" s="6">
        <v>3</v>
      </c>
    </row>
    <row r="4" spans="1:7" s="6" customFormat="1">
      <c r="A4" s="6" t="s">
        <v>0</v>
      </c>
      <c r="B4" s="6" t="s">
        <v>57</v>
      </c>
      <c r="C4" s="6">
        <v>2</v>
      </c>
      <c r="D4" s="6" t="s">
        <v>16</v>
      </c>
      <c r="E4" s="6" t="s">
        <v>10</v>
      </c>
      <c r="F4" s="6">
        <v>3</v>
      </c>
      <c r="G4" s="6">
        <v>3</v>
      </c>
    </row>
    <row r="5" spans="1:7" s="6" customFormat="1">
      <c r="A5" s="6" t="s">
        <v>0</v>
      </c>
      <c r="B5" s="6" t="s">
        <v>57</v>
      </c>
      <c r="C5" s="6">
        <v>2</v>
      </c>
      <c r="D5" s="6" t="s">
        <v>16</v>
      </c>
      <c r="E5" s="6" t="s">
        <v>11</v>
      </c>
      <c r="F5" s="6">
        <v>4</v>
      </c>
      <c r="G5" s="6">
        <v>3</v>
      </c>
    </row>
    <row r="6" spans="1:7" s="6" customFormat="1">
      <c r="A6" s="6" t="s">
        <v>0</v>
      </c>
      <c r="B6" s="6" t="s">
        <v>57</v>
      </c>
      <c r="C6" s="6">
        <v>3</v>
      </c>
      <c r="D6" s="6" t="s">
        <v>15</v>
      </c>
      <c r="E6" s="6" t="s">
        <v>10</v>
      </c>
      <c r="F6" s="6">
        <v>4</v>
      </c>
      <c r="G6" s="6">
        <v>3</v>
      </c>
    </row>
    <row r="7" spans="1:7" s="6" customFormat="1">
      <c r="A7" s="6" t="s">
        <v>0</v>
      </c>
      <c r="B7" s="6" t="s">
        <v>57</v>
      </c>
      <c r="C7" s="6">
        <v>3</v>
      </c>
      <c r="D7" s="6" t="s">
        <v>15</v>
      </c>
      <c r="E7" s="6" t="s">
        <v>11</v>
      </c>
      <c r="F7" s="6">
        <v>6</v>
      </c>
      <c r="G7" s="6">
        <v>3</v>
      </c>
    </row>
    <row r="8" spans="1:7" s="6" customFormat="1">
      <c r="A8" s="6" t="s">
        <v>17</v>
      </c>
      <c r="B8" s="6" t="s">
        <v>57</v>
      </c>
      <c r="C8" s="6">
        <v>1</v>
      </c>
      <c r="D8" s="6" t="s">
        <v>15</v>
      </c>
      <c r="E8" s="6" t="s">
        <v>10</v>
      </c>
      <c r="F8" s="6">
        <v>1</v>
      </c>
      <c r="G8" s="6">
        <v>10</v>
      </c>
    </row>
    <row r="9" spans="1:7" s="6" customFormat="1">
      <c r="A9" s="6" t="s">
        <v>17</v>
      </c>
      <c r="B9" s="6" t="s">
        <v>57</v>
      </c>
      <c r="C9" s="6">
        <v>1</v>
      </c>
      <c r="D9" s="6" t="s">
        <v>15</v>
      </c>
      <c r="E9" s="6" t="s">
        <v>11</v>
      </c>
      <c r="F9" s="6">
        <v>4</v>
      </c>
      <c r="G9" s="6">
        <v>10</v>
      </c>
    </row>
    <row r="10" spans="1:7" s="6" customFormat="1">
      <c r="A10" s="6" t="s">
        <v>17</v>
      </c>
      <c r="B10" s="6" t="s">
        <v>57</v>
      </c>
      <c r="C10" s="6">
        <v>2</v>
      </c>
      <c r="D10" s="6" t="s">
        <v>16</v>
      </c>
      <c r="E10" s="6" t="s">
        <v>10</v>
      </c>
      <c r="F10" s="6">
        <v>2</v>
      </c>
      <c r="G10" s="6">
        <v>10</v>
      </c>
    </row>
    <row r="11" spans="1:7" s="6" customFormat="1">
      <c r="A11" s="6" t="s">
        <v>17</v>
      </c>
      <c r="B11" s="6" t="s">
        <v>57</v>
      </c>
      <c r="C11" s="6">
        <v>2</v>
      </c>
      <c r="D11" s="6" t="s">
        <v>16</v>
      </c>
      <c r="E11" s="6" t="s">
        <v>11</v>
      </c>
      <c r="F11" s="6">
        <v>5</v>
      </c>
      <c r="G11" s="6">
        <v>10</v>
      </c>
    </row>
    <row r="12" spans="1:7" s="6" customFormat="1">
      <c r="A12" s="6" t="s">
        <v>17</v>
      </c>
      <c r="B12" s="6" t="s">
        <v>57</v>
      </c>
      <c r="C12" s="6">
        <v>3</v>
      </c>
      <c r="D12" s="6" t="s">
        <v>14</v>
      </c>
      <c r="E12" s="6" t="s">
        <v>10</v>
      </c>
      <c r="F12" s="6">
        <v>2</v>
      </c>
      <c r="G12" s="6">
        <v>10</v>
      </c>
    </row>
    <row r="13" spans="1:7" s="6" customFormat="1">
      <c r="A13" s="6" t="s">
        <v>17</v>
      </c>
      <c r="B13" s="6" t="s">
        <v>57</v>
      </c>
      <c r="C13" s="6">
        <v>3</v>
      </c>
      <c r="D13" s="6" t="s">
        <v>14</v>
      </c>
      <c r="E13" s="6" t="s">
        <v>11</v>
      </c>
      <c r="F13" s="6">
        <v>3</v>
      </c>
      <c r="G13" s="6">
        <v>10</v>
      </c>
    </row>
    <row r="14" spans="1:7" s="6" customFormat="1">
      <c r="A14" s="6" t="s">
        <v>19</v>
      </c>
      <c r="B14" s="6" t="s">
        <v>57</v>
      </c>
      <c r="C14" s="6">
        <v>1</v>
      </c>
      <c r="D14" s="6" t="s">
        <v>15</v>
      </c>
      <c r="E14" s="6" t="s">
        <v>10</v>
      </c>
      <c r="F14" s="6">
        <v>3</v>
      </c>
      <c r="G14" s="6">
        <v>4</v>
      </c>
    </row>
    <row r="15" spans="1:7" s="6" customFormat="1">
      <c r="A15" s="6" t="s">
        <v>19</v>
      </c>
      <c r="B15" s="6" t="s">
        <v>57</v>
      </c>
      <c r="C15" s="6">
        <v>1</v>
      </c>
      <c r="D15" s="6" t="s">
        <v>15</v>
      </c>
      <c r="E15" s="6" t="s">
        <v>11</v>
      </c>
      <c r="F15" s="6">
        <v>8</v>
      </c>
      <c r="G15" s="6">
        <v>4</v>
      </c>
    </row>
    <row r="16" spans="1:7" s="6" customFormat="1">
      <c r="A16" s="6" t="s">
        <v>19</v>
      </c>
      <c r="B16" s="6" t="s">
        <v>57</v>
      </c>
      <c r="C16" s="6">
        <v>2</v>
      </c>
      <c r="D16" s="6" t="s">
        <v>14</v>
      </c>
      <c r="E16" s="6" t="s">
        <v>10</v>
      </c>
      <c r="F16" s="6">
        <v>4</v>
      </c>
      <c r="G16" s="6">
        <v>4</v>
      </c>
    </row>
    <row r="17" spans="1:7" s="6" customFormat="1">
      <c r="A17" s="6" t="s">
        <v>19</v>
      </c>
      <c r="B17" s="6" t="s">
        <v>57</v>
      </c>
      <c r="C17" s="6">
        <v>2</v>
      </c>
      <c r="D17" s="6" t="s">
        <v>14</v>
      </c>
      <c r="E17" s="6" t="s">
        <v>11</v>
      </c>
      <c r="F17" s="6">
        <v>3</v>
      </c>
      <c r="G17" s="6">
        <v>4</v>
      </c>
    </row>
    <row r="18" spans="1:7" s="6" customFormat="1">
      <c r="A18" s="6" t="s">
        <v>19</v>
      </c>
      <c r="B18" s="6" t="s">
        <v>57</v>
      </c>
      <c r="C18" s="6">
        <v>3</v>
      </c>
      <c r="D18" s="6" t="s">
        <v>16</v>
      </c>
      <c r="E18" s="6" t="s">
        <v>10</v>
      </c>
      <c r="F18" s="6">
        <v>3</v>
      </c>
      <c r="G18" s="6">
        <v>4</v>
      </c>
    </row>
    <row r="19" spans="1:7" s="6" customFormat="1">
      <c r="A19" s="6" t="s">
        <v>19</v>
      </c>
      <c r="B19" s="6" t="s">
        <v>57</v>
      </c>
      <c r="C19" s="6">
        <v>3</v>
      </c>
      <c r="D19" s="6" t="s">
        <v>16</v>
      </c>
      <c r="E19" s="6" t="s">
        <v>11</v>
      </c>
      <c r="F19" s="6">
        <v>8</v>
      </c>
      <c r="G19" s="6">
        <v>4</v>
      </c>
    </row>
    <row r="20" spans="1:7" s="6" customFormat="1">
      <c r="A20" s="6" t="s">
        <v>18</v>
      </c>
      <c r="B20" s="6" t="s">
        <v>57</v>
      </c>
      <c r="C20" s="6">
        <v>1</v>
      </c>
      <c r="D20" s="6" t="s">
        <v>16</v>
      </c>
      <c r="E20" s="6" t="s">
        <v>10</v>
      </c>
      <c r="F20" s="6">
        <v>2</v>
      </c>
      <c r="G20" s="6">
        <v>2</v>
      </c>
    </row>
    <row r="21" spans="1:7" s="6" customFormat="1">
      <c r="A21" s="6" t="s">
        <v>18</v>
      </c>
      <c r="B21" s="6" t="s">
        <v>57</v>
      </c>
      <c r="C21" s="6">
        <v>1</v>
      </c>
      <c r="D21" s="6" t="s">
        <v>16</v>
      </c>
      <c r="E21" s="6" t="s">
        <v>11</v>
      </c>
      <c r="F21" s="6">
        <v>6</v>
      </c>
      <c r="G21" s="6">
        <v>2</v>
      </c>
    </row>
    <row r="22" spans="1:7" s="6" customFormat="1">
      <c r="A22" s="6" t="s">
        <v>18</v>
      </c>
      <c r="B22" s="6" t="s">
        <v>57</v>
      </c>
      <c r="C22" s="6">
        <v>2</v>
      </c>
      <c r="D22" s="6" t="s">
        <v>15</v>
      </c>
      <c r="E22" s="6" t="s">
        <v>10</v>
      </c>
      <c r="F22" s="6">
        <v>6</v>
      </c>
      <c r="G22" s="6">
        <v>2</v>
      </c>
    </row>
    <row r="23" spans="1:7" s="6" customFormat="1">
      <c r="A23" s="6" t="s">
        <v>18</v>
      </c>
      <c r="B23" s="6" t="s">
        <v>57</v>
      </c>
      <c r="C23" s="6">
        <v>2</v>
      </c>
      <c r="D23" s="6" t="s">
        <v>15</v>
      </c>
      <c r="E23" s="6" t="s">
        <v>11</v>
      </c>
      <c r="F23" s="6">
        <v>8</v>
      </c>
      <c r="G23" s="6">
        <v>2</v>
      </c>
    </row>
    <row r="24" spans="1:7" s="6" customFormat="1">
      <c r="A24" s="6" t="s">
        <v>18</v>
      </c>
      <c r="B24" s="6" t="s">
        <v>57</v>
      </c>
      <c r="C24" s="6">
        <v>3</v>
      </c>
      <c r="D24" s="6" t="s">
        <v>14</v>
      </c>
      <c r="E24" s="6" t="s">
        <v>10</v>
      </c>
      <c r="F24" s="6">
        <v>7</v>
      </c>
      <c r="G24" s="6">
        <v>2</v>
      </c>
    </row>
    <row r="25" spans="1:7" s="6" customFormat="1">
      <c r="A25" s="6" t="s">
        <v>18</v>
      </c>
      <c r="B25" s="6" t="s">
        <v>57</v>
      </c>
      <c r="C25" s="6">
        <v>3</v>
      </c>
      <c r="D25" s="6" t="s">
        <v>14</v>
      </c>
      <c r="E25" s="6" t="s">
        <v>11</v>
      </c>
      <c r="F25" s="6">
        <v>3</v>
      </c>
      <c r="G25" s="6">
        <v>2</v>
      </c>
    </row>
    <row r="26" spans="1:7" s="5" customFormat="1">
      <c r="A26" s="6" t="s">
        <v>25</v>
      </c>
      <c r="B26" s="6" t="s">
        <v>57</v>
      </c>
      <c r="C26" s="6">
        <v>1</v>
      </c>
      <c r="D26" s="6" t="s">
        <v>14</v>
      </c>
      <c r="E26" s="6" t="s">
        <v>10</v>
      </c>
      <c r="F26" s="6">
        <v>3</v>
      </c>
      <c r="G26" s="6">
        <v>6</v>
      </c>
    </row>
    <row r="27" spans="1:7" s="5" customFormat="1">
      <c r="A27" s="6" t="s">
        <v>25</v>
      </c>
      <c r="B27" s="6" t="s">
        <v>57</v>
      </c>
      <c r="C27" s="6">
        <v>1</v>
      </c>
      <c r="D27" s="6" t="s">
        <v>14</v>
      </c>
      <c r="E27" s="6" t="s">
        <v>11</v>
      </c>
      <c r="F27" s="6">
        <v>6</v>
      </c>
      <c r="G27" s="6">
        <v>6</v>
      </c>
    </row>
    <row r="28" spans="1:7" s="5" customFormat="1">
      <c r="A28" s="6" t="s">
        <v>25</v>
      </c>
      <c r="B28" s="6" t="s">
        <v>57</v>
      </c>
      <c r="C28" s="6">
        <v>2</v>
      </c>
      <c r="D28" s="6" t="s">
        <v>15</v>
      </c>
      <c r="E28" s="6" t="s">
        <v>10</v>
      </c>
      <c r="F28" s="6">
        <v>4</v>
      </c>
      <c r="G28" s="6">
        <v>6</v>
      </c>
    </row>
    <row r="29" spans="1:7" s="5" customFormat="1">
      <c r="A29" s="6" t="s">
        <v>25</v>
      </c>
      <c r="B29" s="6" t="s">
        <v>57</v>
      </c>
      <c r="C29" s="6">
        <v>2</v>
      </c>
      <c r="D29" s="6" t="s">
        <v>15</v>
      </c>
      <c r="E29" s="6" t="s">
        <v>11</v>
      </c>
      <c r="F29" s="6">
        <v>6</v>
      </c>
      <c r="G29" s="6">
        <v>6</v>
      </c>
    </row>
    <row r="30" spans="1:7" s="5" customFormat="1">
      <c r="A30" s="6" t="s">
        <v>25</v>
      </c>
      <c r="B30" s="6" t="s">
        <v>57</v>
      </c>
      <c r="C30" s="6">
        <v>3</v>
      </c>
      <c r="D30" s="6" t="s">
        <v>16</v>
      </c>
      <c r="E30" s="6" t="s">
        <v>10</v>
      </c>
      <c r="F30" s="6">
        <v>4</v>
      </c>
      <c r="G30" s="6">
        <v>6</v>
      </c>
    </row>
    <row r="31" spans="1:7" s="5" customFormat="1">
      <c r="A31" s="6" t="s">
        <v>25</v>
      </c>
      <c r="B31" s="6" t="s">
        <v>57</v>
      </c>
      <c r="C31" s="6">
        <v>3</v>
      </c>
      <c r="D31" s="6" t="s">
        <v>16</v>
      </c>
      <c r="E31" s="6" t="s">
        <v>11</v>
      </c>
      <c r="F31" s="6">
        <v>6</v>
      </c>
      <c r="G31" s="6">
        <v>6</v>
      </c>
    </row>
    <row r="32" spans="1:7" s="6" customFormat="1">
      <c r="A32" s="6" t="s">
        <v>26</v>
      </c>
      <c r="B32" s="6" t="s">
        <v>57</v>
      </c>
      <c r="C32" s="6">
        <v>1</v>
      </c>
      <c r="D32" s="6" t="s">
        <v>16</v>
      </c>
      <c r="E32" s="6" t="s">
        <v>10</v>
      </c>
      <c r="F32" s="6">
        <v>2</v>
      </c>
      <c r="G32" s="6">
        <v>3</v>
      </c>
    </row>
    <row r="33" spans="1:7" s="6" customFormat="1">
      <c r="A33" s="6" t="s">
        <v>26</v>
      </c>
      <c r="B33" s="6" t="s">
        <v>57</v>
      </c>
      <c r="C33" s="6">
        <v>1</v>
      </c>
      <c r="D33" s="6" t="s">
        <v>16</v>
      </c>
      <c r="E33" s="6" t="s">
        <v>11</v>
      </c>
      <c r="F33" s="6">
        <v>3</v>
      </c>
      <c r="G33" s="6">
        <v>3</v>
      </c>
    </row>
    <row r="34" spans="1:7" s="6" customFormat="1">
      <c r="A34" s="6" t="s">
        <v>26</v>
      </c>
      <c r="B34" s="6" t="s">
        <v>57</v>
      </c>
      <c r="C34" s="6">
        <v>2</v>
      </c>
      <c r="D34" s="6" t="s">
        <v>14</v>
      </c>
      <c r="E34" s="6" t="s">
        <v>10</v>
      </c>
      <c r="F34" s="6">
        <v>3</v>
      </c>
      <c r="G34" s="6">
        <v>3</v>
      </c>
    </row>
    <row r="35" spans="1:7" s="6" customFormat="1">
      <c r="A35" s="6" t="s">
        <v>26</v>
      </c>
      <c r="B35" s="6" t="s">
        <v>57</v>
      </c>
      <c r="C35" s="6">
        <v>2</v>
      </c>
      <c r="D35" s="6" t="s">
        <v>14</v>
      </c>
      <c r="E35" s="6" t="s">
        <v>11</v>
      </c>
      <c r="F35" s="6">
        <v>2</v>
      </c>
      <c r="G35" s="6">
        <v>3</v>
      </c>
    </row>
    <row r="36" spans="1:7" s="6" customFormat="1">
      <c r="A36" s="6" t="s">
        <v>26</v>
      </c>
      <c r="B36" s="6" t="s">
        <v>57</v>
      </c>
      <c r="C36" s="6">
        <v>3</v>
      </c>
      <c r="D36" s="6" t="s">
        <v>15</v>
      </c>
      <c r="E36" s="6" t="s">
        <v>10</v>
      </c>
      <c r="F36" s="6">
        <v>3</v>
      </c>
      <c r="G36" s="6">
        <v>3</v>
      </c>
    </row>
    <row r="37" spans="1:7" s="6" customFormat="1">
      <c r="A37" s="6" t="s">
        <v>26</v>
      </c>
      <c r="B37" s="6" t="s">
        <v>57</v>
      </c>
      <c r="C37" s="6">
        <v>3</v>
      </c>
      <c r="D37" s="6" t="s">
        <v>15</v>
      </c>
      <c r="E37" s="6" t="s">
        <v>11</v>
      </c>
      <c r="F37" s="6">
        <v>2</v>
      </c>
      <c r="G37" s="6">
        <v>3</v>
      </c>
    </row>
    <row r="38" spans="1:7" s="6" customFormat="1">
      <c r="A38" s="6" t="s">
        <v>27</v>
      </c>
      <c r="B38" s="6" t="s">
        <v>57</v>
      </c>
      <c r="C38" s="6">
        <v>1</v>
      </c>
      <c r="D38" s="6" t="s">
        <v>14</v>
      </c>
      <c r="E38" s="6" t="s">
        <v>10</v>
      </c>
      <c r="F38" s="6">
        <v>2</v>
      </c>
      <c r="G38" s="6">
        <v>5</v>
      </c>
    </row>
    <row r="39" spans="1:7" s="6" customFormat="1">
      <c r="A39" s="6" t="s">
        <v>27</v>
      </c>
      <c r="B39" s="6" t="s">
        <v>57</v>
      </c>
      <c r="C39" s="6">
        <v>1</v>
      </c>
      <c r="D39" s="6" t="s">
        <v>14</v>
      </c>
      <c r="E39" s="6" t="s">
        <v>11</v>
      </c>
      <c r="F39" s="6">
        <v>6</v>
      </c>
      <c r="G39" s="6">
        <v>5</v>
      </c>
    </row>
    <row r="40" spans="1:7" s="6" customFormat="1">
      <c r="A40" s="6" t="s">
        <v>27</v>
      </c>
      <c r="B40" s="6" t="s">
        <v>57</v>
      </c>
      <c r="C40" s="6">
        <v>2</v>
      </c>
      <c r="D40" s="6" t="s">
        <v>16</v>
      </c>
      <c r="E40" s="6" t="s">
        <v>10</v>
      </c>
      <c r="F40" s="6">
        <v>4</v>
      </c>
      <c r="G40" s="6">
        <v>5</v>
      </c>
    </row>
    <row r="41" spans="1:7" s="6" customFormat="1">
      <c r="A41" s="6" t="s">
        <v>27</v>
      </c>
      <c r="B41" s="6" t="s">
        <v>57</v>
      </c>
      <c r="C41" s="6">
        <v>2</v>
      </c>
      <c r="D41" s="6" t="s">
        <v>16</v>
      </c>
      <c r="E41" s="6" t="s">
        <v>11</v>
      </c>
      <c r="F41" s="6">
        <v>6</v>
      </c>
      <c r="G41" s="6">
        <v>5</v>
      </c>
    </row>
    <row r="42" spans="1:7" s="6" customFormat="1">
      <c r="A42" s="6" t="s">
        <v>27</v>
      </c>
      <c r="B42" s="6" t="s">
        <v>57</v>
      </c>
      <c r="C42" s="6">
        <v>3</v>
      </c>
      <c r="D42" s="6" t="s">
        <v>15</v>
      </c>
      <c r="E42" s="6" t="s">
        <v>10</v>
      </c>
      <c r="F42" s="6">
        <v>4</v>
      </c>
      <c r="G42" s="6">
        <v>5</v>
      </c>
    </row>
    <row r="43" spans="1:7" s="6" customFormat="1">
      <c r="A43" s="6" t="s">
        <v>27</v>
      </c>
      <c r="B43" s="6" t="s">
        <v>57</v>
      </c>
      <c r="C43" s="6">
        <v>3</v>
      </c>
      <c r="D43" s="6" t="s">
        <v>15</v>
      </c>
      <c r="E43" s="6" t="s">
        <v>11</v>
      </c>
      <c r="F43" s="6">
        <v>7</v>
      </c>
      <c r="G43" s="6">
        <v>5</v>
      </c>
    </row>
    <row r="44" spans="1:7" s="6" customFormat="1">
      <c r="A44" s="6" t="s">
        <v>31</v>
      </c>
      <c r="B44" s="6" t="s">
        <v>57</v>
      </c>
      <c r="C44" s="6">
        <v>1</v>
      </c>
      <c r="D44" s="6" t="s">
        <v>16</v>
      </c>
      <c r="E44" s="6" t="s">
        <v>10</v>
      </c>
      <c r="F44" s="6">
        <v>1</v>
      </c>
      <c r="G44" s="6">
        <v>5</v>
      </c>
    </row>
    <row r="45" spans="1:7" s="6" customFormat="1">
      <c r="A45" s="6" t="s">
        <v>31</v>
      </c>
      <c r="B45" s="6" t="s">
        <v>57</v>
      </c>
      <c r="C45" s="6">
        <v>1</v>
      </c>
      <c r="D45" s="6" t="s">
        <v>16</v>
      </c>
      <c r="E45" s="6" t="s">
        <v>11</v>
      </c>
      <c r="F45" s="6">
        <v>2</v>
      </c>
      <c r="G45" s="6">
        <v>5</v>
      </c>
    </row>
    <row r="46" spans="1:7" s="6" customFormat="1">
      <c r="A46" s="6" t="s">
        <v>31</v>
      </c>
      <c r="B46" s="6" t="s">
        <v>57</v>
      </c>
      <c r="C46" s="6">
        <v>2</v>
      </c>
      <c r="D46" s="6" t="s">
        <v>15</v>
      </c>
      <c r="E46" s="6" t="s">
        <v>10</v>
      </c>
      <c r="F46" s="6">
        <v>2</v>
      </c>
      <c r="G46" s="6">
        <v>5</v>
      </c>
    </row>
    <row r="47" spans="1:7" s="6" customFormat="1">
      <c r="A47" s="6" t="s">
        <v>31</v>
      </c>
      <c r="B47" s="6" t="s">
        <v>57</v>
      </c>
      <c r="C47" s="6">
        <v>2</v>
      </c>
      <c r="D47" s="6" t="s">
        <v>15</v>
      </c>
      <c r="E47" s="6" t="s">
        <v>11</v>
      </c>
      <c r="F47" s="6">
        <v>3</v>
      </c>
      <c r="G47" s="6">
        <v>5</v>
      </c>
    </row>
    <row r="48" spans="1:7" s="6" customFormat="1">
      <c r="A48" s="6" t="s">
        <v>31</v>
      </c>
      <c r="B48" s="6" t="s">
        <v>57</v>
      </c>
      <c r="C48" s="6">
        <v>3</v>
      </c>
      <c r="D48" s="6" t="s">
        <v>14</v>
      </c>
      <c r="E48" s="6" t="s">
        <v>10</v>
      </c>
      <c r="F48" s="6">
        <v>2</v>
      </c>
      <c r="G48" s="6">
        <v>5</v>
      </c>
    </row>
    <row r="49" spans="1:7" s="6" customFormat="1">
      <c r="A49" s="6" t="s">
        <v>31</v>
      </c>
      <c r="B49" s="6" t="s">
        <v>57</v>
      </c>
      <c r="C49" s="6">
        <v>3</v>
      </c>
      <c r="D49" s="6" t="s">
        <v>14</v>
      </c>
      <c r="E49" s="6" t="s">
        <v>11</v>
      </c>
      <c r="F49" s="6">
        <v>3</v>
      </c>
      <c r="G49" s="6">
        <v>5</v>
      </c>
    </row>
    <row r="50" spans="1:7" s="5" customFormat="1">
      <c r="A50" s="6" t="s">
        <v>32</v>
      </c>
      <c r="B50" s="6" t="s">
        <v>57</v>
      </c>
      <c r="C50" s="6">
        <v>1</v>
      </c>
      <c r="D50" s="6" t="s">
        <v>15</v>
      </c>
      <c r="E50" s="6" t="s">
        <v>10</v>
      </c>
      <c r="F50" s="6">
        <v>2</v>
      </c>
      <c r="G50" s="6">
        <v>9</v>
      </c>
    </row>
    <row r="51" spans="1:7" s="5" customFormat="1">
      <c r="A51" s="6" t="s">
        <v>32</v>
      </c>
      <c r="B51" s="6" t="s">
        <v>57</v>
      </c>
      <c r="C51" s="6">
        <v>1</v>
      </c>
      <c r="D51" s="6" t="s">
        <v>15</v>
      </c>
      <c r="E51" s="6" t="s">
        <v>11</v>
      </c>
      <c r="F51" s="6">
        <v>3</v>
      </c>
      <c r="G51" s="6">
        <v>9</v>
      </c>
    </row>
    <row r="52" spans="1:7" s="5" customFormat="1">
      <c r="A52" s="6" t="s">
        <v>32</v>
      </c>
      <c r="B52" s="6" t="s">
        <v>57</v>
      </c>
      <c r="C52" s="6">
        <v>2</v>
      </c>
      <c r="D52" s="6" t="s">
        <v>14</v>
      </c>
      <c r="E52" s="6" t="s">
        <v>10</v>
      </c>
      <c r="F52" s="6">
        <v>2</v>
      </c>
      <c r="G52" s="6">
        <v>9</v>
      </c>
    </row>
    <row r="53" spans="1:7" s="5" customFormat="1">
      <c r="A53" s="6" t="s">
        <v>32</v>
      </c>
      <c r="B53" s="6" t="s">
        <v>57</v>
      </c>
      <c r="C53" s="6">
        <v>2</v>
      </c>
      <c r="D53" s="6" t="s">
        <v>14</v>
      </c>
      <c r="E53" s="6" t="s">
        <v>11</v>
      </c>
      <c r="F53" s="6">
        <v>2</v>
      </c>
      <c r="G53" s="6">
        <v>9</v>
      </c>
    </row>
    <row r="54" spans="1:7" s="5" customFormat="1">
      <c r="A54" s="6" t="s">
        <v>32</v>
      </c>
      <c r="B54" s="6" t="s">
        <v>57</v>
      </c>
      <c r="C54" s="6">
        <v>3</v>
      </c>
      <c r="D54" s="6" t="s">
        <v>16</v>
      </c>
      <c r="E54" s="6" t="s">
        <v>10</v>
      </c>
      <c r="F54" s="6">
        <v>2</v>
      </c>
      <c r="G54" s="6">
        <v>9</v>
      </c>
    </row>
    <row r="55" spans="1:7" s="5" customFormat="1">
      <c r="A55" s="6" t="s">
        <v>32</v>
      </c>
      <c r="B55" s="6" t="s">
        <v>57</v>
      </c>
      <c r="C55" s="6">
        <v>3</v>
      </c>
      <c r="D55" s="6" t="s">
        <v>16</v>
      </c>
      <c r="E55" s="6" t="s">
        <v>11</v>
      </c>
      <c r="F55" s="6">
        <v>4</v>
      </c>
      <c r="G55" s="6">
        <v>9</v>
      </c>
    </row>
    <row r="56" spans="1:7" s="6" customFormat="1">
      <c r="A56" s="6" t="s">
        <v>34</v>
      </c>
      <c r="B56" s="6" t="s">
        <v>57</v>
      </c>
      <c r="C56" s="6">
        <v>1</v>
      </c>
      <c r="D56" s="6" t="s">
        <v>15</v>
      </c>
      <c r="E56" s="6" t="s">
        <v>10</v>
      </c>
      <c r="F56" s="6">
        <v>3</v>
      </c>
      <c r="G56" s="6">
        <v>9</v>
      </c>
    </row>
    <row r="57" spans="1:7" s="6" customFormat="1">
      <c r="A57" s="6" t="s">
        <v>34</v>
      </c>
      <c r="B57" s="6" t="s">
        <v>57</v>
      </c>
      <c r="C57" s="6">
        <v>1</v>
      </c>
      <c r="D57" s="6" t="s">
        <v>15</v>
      </c>
      <c r="E57" s="6" t="s">
        <v>11</v>
      </c>
      <c r="F57" s="6">
        <v>5</v>
      </c>
      <c r="G57" s="6">
        <v>9</v>
      </c>
    </row>
    <row r="58" spans="1:7" s="6" customFormat="1">
      <c r="A58" s="6" t="s">
        <v>34</v>
      </c>
      <c r="B58" s="6" t="s">
        <v>57</v>
      </c>
      <c r="C58" s="6">
        <v>2</v>
      </c>
      <c r="D58" s="6" t="s">
        <v>16</v>
      </c>
      <c r="E58" s="6" t="s">
        <v>10</v>
      </c>
      <c r="F58" s="6">
        <v>5</v>
      </c>
      <c r="G58" s="6">
        <v>9</v>
      </c>
    </row>
    <row r="59" spans="1:7" s="6" customFormat="1">
      <c r="A59" s="6" t="s">
        <v>34</v>
      </c>
      <c r="B59" s="6" t="s">
        <v>57</v>
      </c>
      <c r="C59" s="6">
        <v>2</v>
      </c>
      <c r="D59" s="6" t="s">
        <v>16</v>
      </c>
      <c r="E59" s="6" t="s">
        <v>11</v>
      </c>
      <c r="F59" s="6">
        <v>6</v>
      </c>
      <c r="G59" s="6">
        <v>9</v>
      </c>
    </row>
    <row r="60" spans="1:7" s="6" customFormat="1">
      <c r="A60" s="6" t="s">
        <v>34</v>
      </c>
      <c r="B60" s="6" t="s">
        <v>57</v>
      </c>
      <c r="C60" s="6">
        <v>3</v>
      </c>
      <c r="D60" s="6" t="s">
        <v>14</v>
      </c>
      <c r="E60" s="6" t="s">
        <v>10</v>
      </c>
      <c r="F60" s="6">
        <v>5</v>
      </c>
      <c r="G60" s="6">
        <v>9</v>
      </c>
    </row>
    <row r="61" spans="1:7" s="6" customFormat="1">
      <c r="A61" s="6" t="s">
        <v>34</v>
      </c>
      <c r="B61" s="6" t="s">
        <v>57</v>
      </c>
      <c r="C61" s="6">
        <v>3</v>
      </c>
      <c r="D61" s="6" t="s">
        <v>14</v>
      </c>
      <c r="E61" s="6" t="s">
        <v>11</v>
      </c>
      <c r="F61" s="6">
        <v>6</v>
      </c>
      <c r="G61" s="6">
        <v>9</v>
      </c>
    </row>
    <row r="62" spans="1:7" s="6" customFormat="1">
      <c r="A62" s="6" t="s">
        <v>36</v>
      </c>
      <c r="B62" s="6" t="s">
        <v>57</v>
      </c>
      <c r="C62" s="6">
        <v>1</v>
      </c>
      <c r="D62" s="6" t="s">
        <v>20</v>
      </c>
      <c r="E62" s="6" t="s">
        <v>10</v>
      </c>
      <c r="F62" s="6">
        <v>3</v>
      </c>
      <c r="G62" s="6">
        <v>6</v>
      </c>
    </row>
    <row r="63" spans="1:7" s="6" customFormat="1">
      <c r="A63" s="6" t="s">
        <v>36</v>
      </c>
      <c r="B63" s="6" t="s">
        <v>57</v>
      </c>
      <c r="C63" s="6">
        <v>1</v>
      </c>
      <c r="D63" s="6" t="s">
        <v>20</v>
      </c>
      <c r="E63" s="6" t="s">
        <v>11</v>
      </c>
      <c r="F63" s="6">
        <v>4</v>
      </c>
      <c r="G63" s="6">
        <v>6</v>
      </c>
    </row>
    <row r="64" spans="1:7" s="6" customFormat="1">
      <c r="A64" s="6" t="s">
        <v>36</v>
      </c>
      <c r="B64" s="6" t="s">
        <v>57</v>
      </c>
      <c r="C64" s="6">
        <v>2</v>
      </c>
      <c r="D64" s="6" t="s">
        <v>21</v>
      </c>
      <c r="E64" s="6" t="s">
        <v>10</v>
      </c>
      <c r="F64" s="6">
        <v>4</v>
      </c>
      <c r="G64" s="6">
        <v>6</v>
      </c>
    </row>
    <row r="65" spans="1:7" s="6" customFormat="1">
      <c r="A65" s="6" t="s">
        <v>36</v>
      </c>
      <c r="B65" s="6" t="s">
        <v>57</v>
      </c>
      <c r="C65" s="6">
        <v>2</v>
      </c>
      <c r="D65" s="6" t="s">
        <v>21</v>
      </c>
      <c r="E65" s="6" t="s">
        <v>11</v>
      </c>
      <c r="F65" s="6">
        <v>5</v>
      </c>
      <c r="G65" s="6">
        <v>6</v>
      </c>
    </row>
    <row r="66" spans="1:7" s="6" customFormat="1">
      <c r="A66" s="6" t="s">
        <v>36</v>
      </c>
      <c r="B66" s="6" t="s">
        <v>57</v>
      </c>
      <c r="C66" s="6">
        <v>3</v>
      </c>
      <c r="D66" s="6" t="s">
        <v>22</v>
      </c>
      <c r="E66" s="6" t="s">
        <v>10</v>
      </c>
      <c r="F66" s="6">
        <v>4</v>
      </c>
      <c r="G66" s="6">
        <v>6</v>
      </c>
    </row>
    <row r="67" spans="1:7" s="6" customFormat="1">
      <c r="A67" s="6" t="s">
        <v>36</v>
      </c>
      <c r="B67" s="6" t="s">
        <v>57</v>
      </c>
      <c r="C67" s="6">
        <v>3</v>
      </c>
      <c r="D67" s="6" t="s">
        <v>22</v>
      </c>
      <c r="E67" s="6" t="s">
        <v>11</v>
      </c>
      <c r="F67" s="6">
        <v>4</v>
      </c>
      <c r="G67" s="6">
        <v>6</v>
      </c>
    </row>
    <row r="68" spans="1:7" s="5" customFormat="1">
      <c r="A68" s="6" t="s">
        <v>37</v>
      </c>
      <c r="B68" s="6" t="s">
        <v>57</v>
      </c>
      <c r="C68" s="6">
        <v>1</v>
      </c>
      <c r="D68" s="6" t="s">
        <v>22</v>
      </c>
      <c r="E68" s="6" t="s">
        <v>10</v>
      </c>
      <c r="F68" s="6">
        <v>1</v>
      </c>
      <c r="G68" s="6">
        <v>6</v>
      </c>
    </row>
    <row r="69" spans="1:7" s="5" customFormat="1">
      <c r="A69" s="6" t="s">
        <v>37</v>
      </c>
      <c r="B69" s="6" t="s">
        <v>57</v>
      </c>
      <c r="C69" s="6">
        <v>1</v>
      </c>
      <c r="D69" s="6" t="s">
        <v>22</v>
      </c>
      <c r="E69" s="6" t="s">
        <v>11</v>
      </c>
      <c r="F69" s="6">
        <v>2</v>
      </c>
      <c r="G69" s="6">
        <v>6</v>
      </c>
    </row>
    <row r="70" spans="1:7" s="5" customFormat="1">
      <c r="A70" s="6" t="s">
        <v>37</v>
      </c>
      <c r="B70" s="6" t="s">
        <v>57</v>
      </c>
      <c r="C70" s="6">
        <v>2</v>
      </c>
      <c r="D70" s="6" t="s">
        <v>20</v>
      </c>
      <c r="E70" s="6" t="s">
        <v>10</v>
      </c>
      <c r="F70" s="6">
        <v>2</v>
      </c>
      <c r="G70" s="6">
        <v>6</v>
      </c>
    </row>
    <row r="71" spans="1:7" s="5" customFormat="1">
      <c r="A71" s="6" t="s">
        <v>37</v>
      </c>
      <c r="B71" s="6" t="s">
        <v>57</v>
      </c>
      <c r="C71" s="6">
        <v>2</v>
      </c>
      <c r="D71" s="6" t="s">
        <v>20</v>
      </c>
      <c r="E71" s="6" t="s">
        <v>11</v>
      </c>
      <c r="F71" s="6">
        <v>2</v>
      </c>
      <c r="G71" s="6">
        <v>6</v>
      </c>
    </row>
    <row r="72" spans="1:7" s="5" customFormat="1">
      <c r="A72" s="6" t="s">
        <v>37</v>
      </c>
      <c r="B72" s="6" t="s">
        <v>57</v>
      </c>
      <c r="C72" s="6">
        <v>3</v>
      </c>
      <c r="D72" s="6" t="s">
        <v>21</v>
      </c>
      <c r="E72" s="6" t="s">
        <v>10</v>
      </c>
      <c r="F72" s="6">
        <v>2</v>
      </c>
      <c r="G72" s="6">
        <v>6</v>
      </c>
    </row>
    <row r="73" spans="1:7" s="5" customFormat="1">
      <c r="A73" s="6" t="s">
        <v>37</v>
      </c>
      <c r="B73" s="6" t="s">
        <v>57</v>
      </c>
      <c r="C73" s="6">
        <v>3</v>
      </c>
      <c r="D73" s="6" t="s">
        <v>21</v>
      </c>
      <c r="E73" s="6" t="s">
        <v>11</v>
      </c>
      <c r="F73" s="6">
        <v>4</v>
      </c>
      <c r="G73" s="6">
        <v>6</v>
      </c>
    </row>
    <row r="74" spans="1:7" s="6" customFormat="1">
      <c r="A74" s="6" t="s">
        <v>39</v>
      </c>
      <c r="B74" s="6" t="s">
        <v>57</v>
      </c>
      <c r="C74" s="6">
        <v>1</v>
      </c>
      <c r="D74" s="6" t="s">
        <v>20</v>
      </c>
      <c r="E74" s="6" t="s">
        <v>10</v>
      </c>
      <c r="F74" s="6">
        <v>1</v>
      </c>
      <c r="G74" s="6">
        <v>9</v>
      </c>
    </row>
    <row r="75" spans="1:7" s="6" customFormat="1">
      <c r="A75" s="6" t="s">
        <v>39</v>
      </c>
      <c r="B75" s="6" t="s">
        <v>57</v>
      </c>
      <c r="C75" s="6">
        <v>1</v>
      </c>
      <c r="D75" s="6" t="s">
        <v>20</v>
      </c>
      <c r="E75" s="6" t="s">
        <v>11</v>
      </c>
      <c r="F75" s="6">
        <v>6</v>
      </c>
      <c r="G75" s="6">
        <v>9</v>
      </c>
    </row>
    <row r="76" spans="1:7" s="6" customFormat="1">
      <c r="A76" s="6" t="s">
        <v>39</v>
      </c>
      <c r="B76" s="6" t="s">
        <v>57</v>
      </c>
      <c r="C76" s="6">
        <v>2</v>
      </c>
      <c r="D76" s="6" t="s">
        <v>22</v>
      </c>
      <c r="E76" s="6" t="s">
        <v>10</v>
      </c>
      <c r="F76" s="6">
        <v>5</v>
      </c>
      <c r="G76" s="6">
        <v>9</v>
      </c>
    </row>
    <row r="77" spans="1:7" s="6" customFormat="1">
      <c r="A77" s="6" t="s">
        <v>39</v>
      </c>
      <c r="B77" s="6" t="s">
        <v>57</v>
      </c>
      <c r="C77" s="6">
        <v>2</v>
      </c>
      <c r="D77" s="6" t="s">
        <v>22</v>
      </c>
      <c r="E77" s="6" t="s">
        <v>11</v>
      </c>
      <c r="F77" s="6">
        <v>6</v>
      </c>
      <c r="G77" s="6">
        <v>9</v>
      </c>
    </row>
    <row r="78" spans="1:7" s="6" customFormat="1">
      <c r="A78" s="6" t="s">
        <v>39</v>
      </c>
      <c r="B78" s="6" t="s">
        <v>57</v>
      </c>
      <c r="C78" s="6">
        <v>3</v>
      </c>
      <c r="D78" s="6" t="s">
        <v>21</v>
      </c>
      <c r="E78" s="6" t="s">
        <v>10</v>
      </c>
      <c r="F78" s="6">
        <v>4</v>
      </c>
      <c r="G78" s="6">
        <v>9</v>
      </c>
    </row>
    <row r="79" spans="1:7" s="6" customFormat="1">
      <c r="A79" s="6" t="s">
        <v>39</v>
      </c>
      <c r="B79" s="6" t="s">
        <v>57</v>
      </c>
      <c r="C79" s="6">
        <v>3</v>
      </c>
      <c r="D79" s="6" t="s">
        <v>21</v>
      </c>
      <c r="E79" s="6" t="s">
        <v>11</v>
      </c>
      <c r="F79" s="6">
        <v>8</v>
      </c>
      <c r="G79" s="6">
        <v>9</v>
      </c>
    </row>
    <row r="80" spans="1:7" s="5" customFormat="1">
      <c r="A80" s="6" t="s">
        <v>40</v>
      </c>
      <c r="B80" s="6" t="s">
        <v>57</v>
      </c>
      <c r="C80" s="6">
        <v>1</v>
      </c>
      <c r="D80" s="6" t="s">
        <v>22</v>
      </c>
      <c r="E80" s="6" t="s">
        <v>10</v>
      </c>
      <c r="F80" s="6">
        <v>2</v>
      </c>
      <c r="G80" s="6">
        <v>9</v>
      </c>
    </row>
    <row r="81" spans="1:7" s="5" customFormat="1">
      <c r="A81" s="6" t="s">
        <v>40</v>
      </c>
      <c r="B81" s="6" t="s">
        <v>57</v>
      </c>
      <c r="C81" s="6">
        <v>1</v>
      </c>
      <c r="D81" s="6" t="s">
        <v>22</v>
      </c>
      <c r="E81" s="6" t="s">
        <v>11</v>
      </c>
      <c r="F81" s="6">
        <v>6</v>
      </c>
      <c r="G81" s="6">
        <v>9</v>
      </c>
    </row>
    <row r="82" spans="1:7" s="5" customFormat="1">
      <c r="A82" s="6" t="s">
        <v>40</v>
      </c>
      <c r="B82" s="6" t="s">
        <v>57</v>
      </c>
      <c r="C82" s="6">
        <v>2</v>
      </c>
      <c r="D82" s="6" t="s">
        <v>21</v>
      </c>
      <c r="E82" s="6" t="s">
        <v>10</v>
      </c>
      <c r="F82" s="6">
        <v>6</v>
      </c>
      <c r="G82" s="6">
        <v>9</v>
      </c>
    </row>
    <row r="83" spans="1:7" s="5" customFormat="1">
      <c r="A83" s="6" t="s">
        <v>40</v>
      </c>
      <c r="B83" s="6" t="s">
        <v>57</v>
      </c>
      <c r="C83" s="6">
        <v>2</v>
      </c>
      <c r="D83" s="6" t="s">
        <v>21</v>
      </c>
      <c r="E83" s="6" t="s">
        <v>11</v>
      </c>
      <c r="F83" s="6">
        <v>7</v>
      </c>
      <c r="G83" s="6">
        <v>9</v>
      </c>
    </row>
    <row r="84" spans="1:7" s="5" customFormat="1">
      <c r="A84" s="6" t="s">
        <v>40</v>
      </c>
      <c r="B84" s="6" t="s">
        <v>57</v>
      </c>
      <c r="C84" s="6">
        <v>3</v>
      </c>
      <c r="D84" s="6" t="s">
        <v>20</v>
      </c>
      <c r="E84" s="6" t="s">
        <v>10</v>
      </c>
      <c r="F84" s="6">
        <v>7</v>
      </c>
      <c r="G84" s="6">
        <v>9</v>
      </c>
    </row>
    <row r="85" spans="1:7" s="5" customFormat="1">
      <c r="A85" s="6" t="s">
        <v>40</v>
      </c>
      <c r="B85" s="6" t="s">
        <v>57</v>
      </c>
      <c r="C85" s="6">
        <v>3</v>
      </c>
      <c r="D85" s="6" t="s">
        <v>20</v>
      </c>
      <c r="E85" s="6" t="s">
        <v>11</v>
      </c>
      <c r="F85" s="6">
        <v>8</v>
      </c>
      <c r="G85" s="6">
        <v>9</v>
      </c>
    </row>
    <row r="86" spans="1:7" s="6" customFormat="1">
      <c r="A86" s="6" t="s">
        <v>41</v>
      </c>
      <c r="B86" s="6" t="s">
        <v>57</v>
      </c>
      <c r="C86" s="6">
        <v>1</v>
      </c>
      <c r="D86" s="6" t="s">
        <v>14</v>
      </c>
      <c r="E86" s="6" t="s">
        <v>10</v>
      </c>
      <c r="F86" s="6">
        <v>2</v>
      </c>
      <c r="G86" s="6">
        <v>4</v>
      </c>
    </row>
    <row r="87" spans="1:7" s="6" customFormat="1">
      <c r="A87" s="6" t="s">
        <v>41</v>
      </c>
      <c r="B87" s="6" t="s">
        <v>57</v>
      </c>
      <c r="C87" s="6">
        <v>1</v>
      </c>
      <c r="D87" s="6" t="s">
        <v>14</v>
      </c>
      <c r="E87" s="6" t="s">
        <v>11</v>
      </c>
      <c r="F87" s="6">
        <v>2</v>
      </c>
      <c r="G87" s="6">
        <v>4</v>
      </c>
    </row>
    <row r="88" spans="1:7" s="6" customFormat="1">
      <c r="A88" s="6" t="s">
        <v>41</v>
      </c>
      <c r="B88" s="6" t="s">
        <v>57</v>
      </c>
      <c r="C88" s="6">
        <v>2</v>
      </c>
      <c r="D88" s="6" t="s">
        <v>16</v>
      </c>
      <c r="E88" s="6" t="s">
        <v>10</v>
      </c>
      <c r="F88" s="6">
        <v>2</v>
      </c>
      <c r="G88" s="6">
        <v>4</v>
      </c>
    </row>
    <row r="89" spans="1:7" s="6" customFormat="1">
      <c r="A89" s="6" t="s">
        <v>41</v>
      </c>
      <c r="B89" s="6" t="s">
        <v>57</v>
      </c>
      <c r="C89" s="6">
        <v>2</v>
      </c>
      <c r="D89" s="6" t="s">
        <v>16</v>
      </c>
      <c r="E89" s="6" t="s">
        <v>11</v>
      </c>
      <c r="F89" s="6">
        <v>2</v>
      </c>
      <c r="G89" s="6">
        <v>4</v>
      </c>
    </row>
    <row r="90" spans="1:7" s="6" customFormat="1">
      <c r="A90" s="6" t="s">
        <v>41</v>
      </c>
      <c r="B90" s="6" t="s">
        <v>57</v>
      </c>
      <c r="C90" s="6">
        <v>3</v>
      </c>
      <c r="D90" s="6" t="s">
        <v>15</v>
      </c>
      <c r="E90" s="6" t="s">
        <v>10</v>
      </c>
      <c r="F90" s="6">
        <v>3</v>
      </c>
      <c r="G90" s="6">
        <v>4</v>
      </c>
    </row>
    <row r="91" spans="1:7" s="6" customFormat="1">
      <c r="A91" s="6" t="s">
        <v>41</v>
      </c>
      <c r="B91" s="6" t="s">
        <v>57</v>
      </c>
      <c r="C91" s="6">
        <v>3</v>
      </c>
      <c r="D91" s="6" t="s">
        <v>15</v>
      </c>
      <c r="E91" s="6" t="s">
        <v>11</v>
      </c>
      <c r="F91" s="6">
        <v>2</v>
      </c>
      <c r="G91" s="6">
        <v>4</v>
      </c>
    </row>
    <row r="92" spans="1:7" s="6" customFormat="1">
      <c r="A92" s="6" t="s">
        <v>42</v>
      </c>
      <c r="B92" s="6" t="s">
        <v>57</v>
      </c>
      <c r="C92" s="6">
        <v>1</v>
      </c>
      <c r="D92" s="6" t="s">
        <v>16</v>
      </c>
      <c r="E92" s="6" t="s">
        <v>10</v>
      </c>
      <c r="F92" s="6">
        <v>3</v>
      </c>
      <c r="G92" s="6">
        <v>8</v>
      </c>
    </row>
    <row r="93" spans="1:7" s="6" customFormat="1">
      <c r="A93" s="6" t="s">
        <v>42</v>
      </c>
      <c r="B93" s="6" t="s">
        <v>57</v>
      </c>
      <c r="C93" s="6">
        <v>1</v>
      </c>
      <c r="D93" s="6" t="s">
        <v>16</v>
      </c>
      <c r="E93" s="6" t="s">
        <v>11</v>
      </c>
      <c r="F93" s="6">
        <v>4</v>
      </c>
      <c r="G93" s="6">
        <v>8</v>
      </c>
    </row>
    <row r="94" spans="1:7" s="6" customFormat="1">
      <c r="A94" s="6" t="s">
        <v>42</v>
      </c>
      <c r="B94" s="6" t="s">
        <v>57</v>
      </c>
      <c r="C94" s="6">
        <v>2</v>
      </c>
      <c r="D94" s="6" t="s">
        <v>15</v>
      </c>
      <c r="E94" s="6" t="s">
        <v>10</v>
      </c>
      <c r="F94" s="6">
        <v>4</v>
      </c>
      <c r="G94" s="6">
        <v>8</v>
      </c>
    </row>
    <row r="95" spans="1:7" s="6" customFormat="1">
      <c r="A95" s="6" t="s">
        <v>42</v>
      </c>
      <c r="B95" s="6" t="s">
        <v>57</v>
      </c>
      <c r="C95" s="6">
        <v>2</v>
      </c>
      <c r="D95" s="6" t="s">
        <v>15</v>
      </c>
      <c r="E95" s="6" t="s">
        <v>11</v>
      </c>
      <c r="F95" s="6">
        <v>3</v>
      </c>
      <c r="G95" s="6">
        <v>8</v>
      </c>
    </row>
    <row r="96" spans="1:7" s="6" customFormat="1">
      <c r="A96" s="6" t="s">
        <v>42</v>
      </c>
      <c r="B96" s="6" t="s">
        <v>57</v>
      </c>
      <c r="C96" s="6">
        <v>3</v>
      </c>
      <c r="D96" s="6" t="s">
        <v>14</v>
      </c>
      <c r="E96" s="6" t="s">
        <v>10</v>
      </c>
      <c r="F96" s="6">
        <v>3</v>
      </c>
      <c r="G96" s="6">
        <v>8</v>
      </c>
    </row>
    <row r="97" spans="1:7" s="6" customFormat="1">
      <c r="A97" s="6" t="s">
        <v>42</v>
      </c>
      <c r="B97" s="6" t="s">
        <v>57</v>
      </c>
      <c r="C97" s="6">
        <v>3</v>
      </c>
      <c r="D97" s="6" t="s">
        <v>14</v>
      </c>
      <c r="E97" s="6" t="s">
        <v>11</v>
      </c>
      <c r="F97" s="6">
        <v>3</v>
      </c>
      <c r="G97" s="6">
        <v>8</v>
      </c>
    </row>
    <row r="98" spans="1:7" s="5" customFormat="1">
      <c r="A98" s="6" t="s">
        <v>43</v>
      </c>
      <c r="B98" s="6" t="s">
        <v>57</v>
      </c>
      <c r="C98" s="6">
        <v>1</v>
      </c>
      <c r="D98" s="6" t="s">
        <v>15</v>
      </c>
      <c r="E98" s="6" t="s">
        <v>10</v>
      </c>
      <c r="F98" s="6">
        <v>3</v>
      </c>
      <c r="G98" s="6">
        <v>7</v>
      </c>
    </row>
    <row r="99" spans="1:7" s="5" customFormat="1">
      <c r="A99" s="6" t="s">
        <v>43</v>
      </c>
      <c r="B99" s="6" t="s">
        <v>57</v>
      </c>
      <c r="C99" s="6">
        <v>1</v>
      </c>
      <c r="D99" s="6" t="s">
        <v>15</v>
      </c>
      <c r="E99" s="6" t="s">
        <v>11</v>
      </c>
      <c r="F99" s="6">
        <v>2</v>
      </c>
      <c r="G99" s="6">
        <v>7</v>
      </c>
    </row>
    <row r="100" spans="1:7" s="5" customFormat="1">
      <c r="A100" s="6" t="s">
        <v>43</v>
      </c>
      <c r="B100" s="6" t="s">
        <v>57</v>
      </c>
      <c r="C100" s="6">
        <v>2</v>
      </c>
      <c r="D100" s="6" t="s">
        <v>14</v>
      </c>
      <c r="E100" s="6" t="s">
        <v>10</v>
      </c>
      <c r="F100" s="6">
        <v>2</v>
      </c>
      <c r="G100" s="6">
        <v>7</v>
      </c>
    </row>
    <row r="101" spans="1:7" s="5" customFormat="1">
      <c r="A101" s="6" t="s">
        <v>43</v>
      </c>
      <c r="B101" s="6" t="s">
        <v>57</v>
      </c>
      <c r="C101" s="6">
        <v>2</v>
      </c>
      <c r="D101" s="6" t="s">
        <v>14</v>
      </c>
      <c r="E101" s="6" t="s">
        <v>11</v>
      </c>
      <c r="F101" s="6">
        <v>4</v>
      </c>
      <c r="G101" s="6">
        <v>7</v>
      </c>
    </row>
    <row r="102" spans="1:7" s="5" customFormat="1">
      <c r="A102" s="6" t="s">
        <v>43</v>
      </c>
      <c r="B102" s="6" t="s">
        <v>57</v>
      </c>
      <c r="C102" s="6">
        <v>3</v>
      </c>
      <c r="D102" s="6" t="s">
        <v>16</v>
      </c>
      <c r="E102" s="6" t="s">
        <v>10</v>
      </c>
      <c r="F102" s="6">
        <v>3</v>
      </c>
      <c r="G102" s="6">
        <v>7</v>
      </c>
    </row>
    <row r="103" spans="1:7" s="5" customFormat="1">
      <c r="A103" s="6" t="s">
        <v>43</v>
      </c>
      <c r="B103" s="6" t="s">
        <v>57</v>
      </c>
      <c r="C103" s="6">
        <v>3</v>
      </c>
      <c r="D103" s="6" t="s">
        <v>16</v>
      </c>
      <c r="E103" s="6" t="s">
        <v>11</v>
      </c>
      <c r="F103" s="6">
        <v>6</v>
      </c>
      <c r="G103" s="6">
        <v>7</v>
      </c>
    </row>
    <row r="104" spans="1:7" s="6" customFormat="1">
      <c r="A104" s="6" t="s">
        <v>44</v>
      </c>
      <c r="B104" s="6" t="s">
        <v>57</v>
      </c>
      <c r="C104" s="6">
        <v>1</v>
      </c>
      <c r="D104" s="6" t="s">
        <v>15</v>
      </c>
      <c r="E104" s="6" t="s">
        <v>10</v>
      </c>
      <c r="F104" s="6">
        <v>2</v>
      </c>
      <c r="G104" s="6">
        <v>11</v>
      </c>
    </row>
    <row r="105" spans="1:7" s="6" customFormat="1">
      <c r="A105" s="6" t="s">
        <v>44</v>
      </c>
      <c r="B105" s="6" t="s">
        <v>57</v>
      </c>
      <c r="C105" s="6">
        <v>1</v>
      </c>
      <c r="D105" s="6" t="s">
        <v>15</v>
      </c>
      <c r="E105" s="6" t="s">
        <v>11</v>
      </c>
      <c r="F105" s="6">
        <v>4</v>
      </c>
      <c r="G105" s="6">
        <v>11</v>
      </c>
    </row>
    <row r="106" spans="1:7" s="6" customFormat="1">
      <c r="A106" s="6" t="s">
        <v>44</v>
      </c>
      <c r="B106" s="6" t="s">
        <v>57</v>
      </c>
      <c r="C106" s="6">
        <v>2</v>
      </c>
      <c r="D106" s="6" t="s">
        <v>16</v>
      </c>
      <c r="E106" s="6" t="s">
        <v>10</v>
      </c>
      <c r="F106" s="6">
        <v>3</v>
      </c>
      <c r="G106" s="6">
        <v>11</v>
      </c>
    </row>
    <row r="107" spans="1:7" s="6" customFormat="1">
      <c r="A107" s="6" t="s">
        <v>44</v>
      </c>
      <c r="B107" s="6" t="s">
        <v>57</v>
      </c>
      <c r="C107" s="6">
        <v>2</v>
      </c>
      <c r="D107" s="6" t="s">
        <v>16</v>
      </c>
      <c r="E107" s="6" t="s">
        <v>11</v>
      </c>
      <c r="F107" s="6">
        <v>3</v>
      </c>
      <c r="G107" s="6">
        <v>11</v>
      </c>
    </row>
    <row r="108" spans="1:7" s="6" customFormat="1">
      <c r="A108" s="6" t="s">
        <v>44</v>
      </c>
      <c r="B108" s="6" t="s">
        <v>57</v>
      </c>
      <c r="C108" s="6">
        <v>3</v>
      </c>
      <c r="D108" s="6" t="s">
        <v>14</v>
      </c>
      <c r="E108" s="6" t="s">
        <v>10</v>
      </c>
      <c r="F108" s="6">
        <v>3</v>
      </c>
      <c r="G108" s="6">
        <v>11</v>
      </c>
    </row>
    <row r="109" spans="1:7" s="6" customFormat="1">
      <c r="A109" s="6" t="s">
        <v>44</v>
      </c>
      <c r="B109" s="6" t="s">
        <v>57</v>
      </c>
      <c r="C109" s="6">
        <v>3</v>
      </c>
      <c r="D109" s="6" t="s">
        <v>14</v>
      </c>
      <c r="E109" s="6" t="s">
        <v>11</v>
      </c>
      <c r="F109" s="6">
        <v>3</v>
      </c>
      <c r="G109" s="6">
        <v>11</v>
      </c>
    </row>
    <row r="110" spans="1:7" s="6" customFormat="1">
      <c r="A110" s="6" t="s">
        <v>64</v>
      </c>
      <c r="B110" s="6" t="s">
        <v>57</v>
      </c>
      <c r="C110" s="6">
        <v>1</v>
      </c>
      <c r="D110" s="6" t="s">
        <v>20</v>
      </c>
      <c r="E110" s="6" t="s">
        <v>10</v>
      </c>
      <c r="F110" s="6">
        <v>1</v>
      </c>
      <c r="G110" s="6">
        <v>4</v>
      </c>
    </row>
    <row r="111" spans="1:7" s="6" customFormat="1">
      <c r="A111" s="6" t="s">
        <v>64</v>
      </c>
      <c r="B111" s="6" t="s">
        <v>57</v>
      </c>
      <c r="C111" s="6">
        <v>1</v>
      </c>
      <c r="D111" s="6" t="s">
        <v>20</v>
      </c>
      <c r="E111" s="6" t="s">
        <v>11</v>
      </c>
      <c r="F111" s="6">
        <v>2</v>
      </c>
      <c r="G111" s="6">
        <v>4</v>
      </c>
    </row>
    <row r="112" spans="1:7" s="6" customFormat="1">
      <c r="A112" s="6" t="s">
        <v>64</v>
      </c>
      <c r="B112" s="6" t="s">
        <v>57</v>
      </c>
      <c r="C112" s="6">
        <v>2</v>
      </c>
      <c r="D112" s="6" t="s">
        <v>21</v>
      </c>
      <c r="E112" s="6" t="s">
        <v>10</v>
      </c>
      <c r="F112" s="6">
        <v>2</v>
      </c>
      <c r="G112" s="6">
        <v>4</v>
      </c>
    </row>
    <row r="113" spans="1:7" s="6" customFormat="1">
      <c r="A113" s="6" t="s">
        <v>64</v>
      </c>
      <c r="B113" s="6" t="s">
        <v>57</v>
      </c>
      <c r="C113" s="6">
        <v>2</v>
      </c>
      <c r="D113" s="6" t="s">
        <v>21</v>
      </c>
      <c r="E113" s="6" t="s">
        <v>11</v>
      </c>
      <c r="F113" s="6">
        <v>2</v>
      </c>
      <c r="G113" s="6">
        <v>4</v>
      </c>
    </row>
    <row r="114" spans="1:7" s="6" customFormat="1">
      <c r="A114" s="6" t="s">
        <v>64</v>
      </c>
      <c r="B114" s="6" t="s">
        <v>57</v>
      </c>
      <c r="C114" s="6">
        <v>3</v>
      </c>
      <c r="D114" s="6" t="s">
        <v>22</v>
      </c>
      <c r="E114" s="6" t="s">
        <v>10</v>
      </c>
      <c r="F114" s="6">
        <v>2</v>
      </c>
      <c r="G114" s="6">
        <v>4</v>
      </c>
    </row>
    <row r="115" spans="1:7" s="6" customFormat="1">
      <c r="A115" s="6" t="s">
        <v>64</v>
      </c>
      <c r="B115" s="6" t="s">
        <v>57</v>
      </c>
      <c r="C115" s="6">
        <v>3</v>
      </c>
      <c r="D115" s="6" t="s">
        <v>22</v>
      </c>
      <c r="E115" s="6" t="s">
        <v>11</v>
      </c>
      <c r="F115" s="6">
        <v>1</v>
      </c>
      <c r="G115" s="6">
        <v>4</v>
      </c>
    </row>
    <row r="116" spans="1:7" s="6" customFormat="1">
      <c r="A116" s="5" t="s">
        <v>24</v>
      </c>
      <c r="B116" s="5" t="s">
        <v>65</v>
      </c>
      <c r="C116" s="5">
        <v>1</v>
      </c>
      <c r="D116" s="5" t="s">
        <v>14</v>
      </c>
      <c r="E116" s="5" t="s">
        <v>10</v>
      </c>
      <c r="F116" s="5">
        <v>3</v>
      </c>
      <c r="G116" s="5">
        <v>9</v>
      </c>
    </row>
    <row r="117" spans="1:7" s="6" customFormat="1">
      <c r="A117" s="5" t="s">
        <v>24</v>
      </c>
      <c r="B117" s="5" t="s">
        <v>65</v>
      </c>
      <c r="C117" s="5">
        <v>1</v>
      </c>
      <c r="D117" s="5" t="s">
        <v>14</v>
      </c>
      <c r="E117" s="5" t="s">
        <v>11</v>
      </c>
      <c r="F117" s="5">
        <v>6</v>
      </c>
      <c r="G117" s="5">
        <v>9</v>
      </c>
    </row>
    <row r="118" spans="1:7" s="6" customFormat="1">
      <c r="A118" s="5" t="s">
        <v>24</v>
      </c>
      <c r="B118" s="5" t="s">
        <v>65</v>
      </c>
      <c r="C118" s="5">
        <v>2</v>
      </c>
      <c r="D118" s="5" t="s">
        <v>16</v>
      </c>
      <c r="E118" s="5" t="s">
        <v>10</v>
      </c>
      <c r="F118" s="5">
        <v>4</v>
      </c>
      <c r="G118" s="5">
        <v>9</v>
      </c>
    </row>
    <row r="119" spans="1:7" s="6" customFormat="1">
      <c r="A119" s="5" t="s">
        <v>24</v>
      </c>
      <c r="B119" s="5" t="s">
        <v>65</v>
      </c>
      <c r="C119" s="5">
        <v>2</v>
      </c>
      <c r="D119" s="5" t="s">
        <v>16</v>
      </c>
      <c r="E119" s="5" t="s">
        <v>11</v>
      </c>
      <c r="F119" s="5">
        <v>6</v>
      </c>
      <c r="G119" s="5">
        <v>9</v>
      </c>
    </row>
    <row r="120" spans="1:7" s="6" customFormat="1">
      <c r="A120" s="5" t="s">
        <v>24</v>
      </c>
      <c r="B120" s="5" t="s">
        <v>65</v>
      </c>
      <c r="C120" s="5">
        <v>3</v>
      </c>
      <c r="D120" s="5" t="s">
        <v>15</v>
      </c>
      <c r="E120" s="5" t="s">
        <v>10</v>
      </c>
      <c r="F120" s="5">
        <v>6</v>
      </c>
      <c r="G120" s="5">
        <v>9</v>
      </c>
    </row>
    <row r="121" spans="1:7" s="6" customFormat="1">
      <c r="A121" s="5" t="s">
        <v>24</v>
      </c>
      <c r="B121" s="5" t="s">
        <v>65</v>
      </c>
      <c r="C121" s="5">
        <v>3</v>
      </c>
      <c r="D121" s="5" t="s">
        <v>15</v>
      </c>
      <c r="E121" s="5" t="s">
        <v>11</v>
      </c>
      <c r="F121" s="5">
        <v>8</v>
      </c>
      <c r="G121" s="5">
        <v>9</v>
      </c>
    </row>
    <row r="122" spans="1:7" s="6" customFormat="1">
      <c r="A122" s="5" t="s">
        <v>28</v>
      </c>
      <c r="B122" s="5" t="s">
        <v>65</v>
      </c>
      <c r="C122" s="5">
        <v>1</v>
      </c>
      <c r="D122" s="5" t="s">
        <v>22</v>
      </c>
      <c r="E122" s="5" t="s">
        <v>29</v>
      </c>
      <c r="F122" s="5">
        <v>6</v>
      </c>
      <c r="G122" s="5">
        <v>8</v>
      </c>
    </row>
    <row r="123" spans="1:7" s="6" customFormat="1">
      <c r="A123" s="5" t="s">
        <v>28</v>
      </c>
      <c r="B123" s="5" t="s">
        <v>65</v>
      </c>
      <c r="C123" s="5">
        <v>1</v>
      </c>
      <c r="D123" s="5" t="s">
        <v>22</v>
      </c>
      <c r="E123" s="5" t="s">
        <v>30</v>
      </c>
      <c r="F123" s="5">
        <v>6</v>
      </c>
      <c r="G123" s="5">
        <v>8</v>
      </c>
    </row>
    <row r="124" spans="1:7" s="6" customFormat="1">
      <c r="A124" s="5" t="s">
        <v>28</v>
      </c>
      <c r="B124" s="5" t="s">
        <v>65</v>
      </c>
      <c r="C124" s="5">
        <v>2</v>
      </c>
      <c r="D124" s="5" t="s">
        <v>21</v>
      </c>
      <c r="E124" s="5" t="s">
        <v>29</v>
      </c>
      <c r="F124" s="5">
        <v>6</v>
      </c>
      <c r="G124" s="5">
        <v>8</v>
      </c>
    </row>
    <row r="125" spans="1:7" s="6" customFormat="1">
      <c r="A125" s="5" t="s">
        <v>28</v>
      </c>
      <c r="B125" s="5" t="s">
        <v>65</v>
      </c>
      <c r="C125" s="5">
        <v>2</v>
      </c>
      <c r="D125" s="5" t="s">
        <v>21</v>
      </c>
      <c r="E125" s="5" t="s">
        <v>30</v>
      </c>
      <c r="F125" s="5">
        <v>7</v>
      </c>
      <c r="G125" s="5">
        <v>8</v>
      </c>
    </row>
    <row r="126" spans="1:7" s="6" customFormat="1">
      <c r="A126" s="5" t="s">
        <v>28</v>
      </c>
      <c r="B126" s="5" t="s">
        <v>65</v>
      </c>
      <c r="C126" s="5">
        <v>3</v>
      </c>
      <c r="D126" s="5" t="s">
        <v>20</v>
      </c>
      <c r="E126" s="5" t="s">
        <v>29</v>
      </c>
      <c r="F126" s="5">
        <v>7</v>
      </c>
      <c r="G126" s="5">
        <v>8</v>
      </c>
    </row>
    <row r="127" spans="1:7" s="6" customFormat="1">
      <c r="A127" s="5" t="s">
        <v>28</v>
      </c>
      <c r="B127" s="5" t="s">
        <v>65</v>
      </c>
      <c r="C127" s="5">
        <v>3</v>
      </c>
      <c r="D127" s="5" t="s">
        <v>20</v>
      </c>
      <c r="E127" s="5" t="s">
        <v>30</v>
      </c>
      <c r="F127" s="5">
        <v>7</v>
      </c>
      <c r="G127" s="5">
        <v>8</v>
      </c>
    </row>
    <row r="128" spans="1:7" s="6" customFormat="1">
      <c r="A128" s="5" t="s">
        <v>33</v>
      </c>
      <c r="B128" s="5" t="s">
        <v>65</v>
      </c>
      <c r="C128" s="5">
        <v>1</v>
      </c>
      <c r="D128" s="5" t="s">
        <v>15</v>
      </c>
      <c r="E128" s="5" t="s">
        <v>10</v>
      </c>
      <c r="F128" s="5">
        <v>2</v>
      </c>
      <c r="G128" s="5">
        <v>3</v>
      </c>
    </row>
    <row r="129" spans="1:7" s="6" customFormat="1">
      <c r="A129" s="5" t="s">
        <v>33</v>
      </c>
      <c r="B129" s="5" t="s">
        <v>65</v>
      </c>
      <c r="C129" s="5">
        <v>1</v>
      </c>
      <c r="D129" s="5" t="s">
        <v>15</v>
      </c>
      <c r="E129" s="5" t="s">
        <v>11</v>
      </c>
      <c r="F129" s="5">
        <v>3</v>
      </c>
      <c r="G129" s="5">
        <v>3</v>
      </c>
    </row>
    <row r="130" spans="1:7" s="6" customFormat="1">
      <c r="A130" s="5" t="s">
        <v>33</v>
      </c>
      <c r="B130" s="5" t="s">
        <v>65</v>
      </c>
      <c r="C130" s="5">
        <v>2</v>
      </c>
      <c r="D130" s="5" t="s">
        <v>14</v>
      </c>
      <c r="E130" s="5" t="s">
        <v>10</v>
      </c>
      <c r="F130" s="5">
        <v>3</v>
      </c>
      <c r="G130" s="5">
        <v>3</v>
      </c>
    </row>
    <row r="131" spans="1:7" s="6" customFormat="1">
      <c r="A131" s="5" t="s">
        <v>33</v>
      </c>
      <c r="B131" s="5" t="s">
        <v>65</v>
      </c>
      <c r="C131" s="5">
        <v>2</v>
      </c>
      <c r="D131" s="5" t="s">
        <v>14</v>
      </c>
      <c r="E131" s="5" t="s">
        <v>11</v>
      </c>
      <c r="F131" s="5">
        <v>4</v>
      </c>
      <c r="G131" s="5">
        <v>3</v>
      </c>
    </row>
    <row r="132" spans="1:7" s="6" customFormat="1">
      <c r="A132" s="5" t="s">
        <v>33</v>
      </c>
      <c r="B132" s="5" t="s">
        <v>65</v>
      </c>
      <c r="C132" s="5">
        <v>3</v>
      </c>
      <c r="D132" s="5" t="s">
        <v>16</v>
      </c>
      <c r="E132" s="5" t="s">
        <v>10</v>
      </c>
      <c r="F132" s="5">
        <v>4</v>
      </c>
      <c r="G132" s="5">
        <v>3</v>
      </c>
    </row>
    <row r="133" spans="1:7" s="6" customFormat="1">
      <c r="A133" s="5" t="s">
        <v>33</v>
      </c>
      <c r="B133" s="5" t="s">
        <v>65</v>
      </c>
      <c r="C133" s="5">
        <v>3</v>
      </c>
      <c r="D133" s="5" t="s">
        <v>16</v>
      </c>
      <c r="E133" s="5" t="s">
        <v>11</v>
      </c>
      <c r="F133" s="5">
        <v>6</v>
      </c>
      <c r="G133" s="5">
        <v>3</v>
      </c>
    </row>
    <row r="134" spans="1:7" s="6" customFormat="1">
      <c r="A134" s="5" t="s">
        <v>35</v>
      </c>
      <c r="B134" s="5" t="s">
        <v>65</v>
      </c>
      <c r="C134" s="5">
        <v>1</v>
      </c>
      <c r="D134" s="5" t="s">
        <v>14</v>
      </c>
      <c r="E134" s="5" t="s">
        <v>10</v>
      </c>
      <c r="F134" s="5">
        <v>2</v>
      </c>
      <c r="G134" s="5">
        <v>11</v>
      </c>
    </row>
    <row r="135" spans="1:7" s="6" customFormat="1">
      <c r="A135" s="5" t="s">
        <v>35</v>
      </c>
      <c r="B135" s="5" t="s">
        <v>65</v>
      </c>
      <c r="C135" s="5">
        <v>1</v>
      </c>
      <c r="D135" s="5" t="s">
        <v>14</v>
      </c>
      <c r="E135" s="5" t="s">
        <v>11</v>
      </c>
      <c r="F135" s="5">
        <v>2</v>
      </c>
      <c r="G135" s="5">
        <v>11</v>
      </c>
    </row>
    <row r="136" spans="1:7" s="6" customFormat="1">
      <c r="A136" s="5" t="s">
        <v>35</v>
      </c>
      <c r="B136" s="5" t="s">
        <v>65</v>
      </c>
      <c r="C136" s="5">
        <v>2</v>
      </c>
      <c r="D136" s="5" t="s">
        <v>15</v>
      </c>
      <c r="E136" s="5" t="s">
        <v>10</v>
      </c>
      <c r="F136" s="5">
        <v>2</v>
      </c>
      <c r="G136" s="5">
        <v>11</v>
      </c>
    </row>
    <row r="137" spans="1:7" s="6" customFormat="1">
      <c r="A137" s="5" t="s">
        <v>35</v>
      </c>
      <c r="B137" s="5" t="s">
        <v>65</v>
      </c>
      <c r="C137" s="5">
        <v>2</v>
      </c>
      <c r="D137" s="5" t="s">
        <v>15</v>
      </c>
      <c r="E137" s="5" t="s">
        <v>11</v>
      </c>
      <c r="F137" s="5">
        <v>3</v>
      </c>
      <c r="G137" s="5">
        <v>11</v>
      </c>
    </row>
    <row r="138" spans="1:7" s="6" customFormat="1">
      <c r="A138" s="5" t="s">
        <v>35</v>
      </c>
      <c r="B138" s="5" t="s">
        <v>65</v>
      </c>
      <c r="C138" s="5">
        <v>3</v>
      </c>
      <c r="D138" s="5" t="s">
        <v>16</v>
      </c>
      <c r="E138" s="5" t="s">
        <v>10</v>
      </c>
      <c r="F138" s="5">
        <v>4</v>
      </c>
      <c r="G138" s="5">
        <v>11</v>
      </c>
    </row>
    <row r="139" spans="1:7" s="6" customFormat="1">
      <c r="A139" s="5" t="s">
        <v>35</v>
      </c>
      <c r="B139" s="5" t="s">
        <v>65</v>
      </c>
      <c r="C139" s="5">
        <v>3</v>
      </c>
      <c r="D139" s="5" t="s">
        <v>16</v>
      </c>
      <c r="E139" s="5" t="s">
        <v>11</v>
      </c>
      <c r="F139" s="5">
        <v>5</v>
      </c>
      <c r="G139" s="5">
        <v>11</v>
      </c>
    </row>
    <row r="140" spans="1:7" s="5" customFormat="1">
      <c r="A140" s="5" t="s">
        <v>38</v>
      </c>
      <c r="B140" s="5" t="s">
        <v>65</v>
      </c>
      <c r="C140" s="5">
        <v>1</v>
      </c>
      <c r="D140" s="5" t="s">
        <v>15</v>
      </c>
      <c r="E140" s="5" t="s">
        <v>10</v>
      </c>
      <c r="F140" s="5">
        <v>1</v>
      </c>
      <c r="G140" s="5">
        <v>7</v>
      </c>
    </row>
    <row r="141" spans="1:7" s="5" customFormat="1">
      <c r="A141" s="5" t="s">
        <v>38</v>
      </c>
      <c r="B141" s="5" t="s">
        <v>65</v>
      </c>
      <c r="C141" s="5">
        <v>1</v>
      </c>
      <c r="D141" s="5" t="s">
        <v>15</v>
      </c>
      <c r="E141" s="5" t="s">
        <v>11</v>
      </c>
      <c r="F141" s="5">
        <v>2</v>
      </c>
      <c r="G141" s="5">
        <v>7</v>
      </c>
    </row>
    <row r="142" spans="1:7" s="5" customFormat="1">
      <c r="A142" s="5" t="s">
        <v>38</v>
      </c>
      <c r="B142" s="5" t="s">
        <v>65</v>
      </c>
      <c r="C142" s="5">
        <v>2</v>
      </c>
      <c r="D142" s="5" t="s">
        <v>16</v>
      </c>
      <c r="E142" s="5" t="s">
        <v>10</v>
      </c>
      <c r="F142" s="5">
        <v>2</v>
      </c>
      <c r="G142" s="5">
        <v>7</v>
      </c>
    </row>
    <row r="143" spans="1:7" s="5" customFormat="1">
      <c r="A143" s="5" t="s">
        <v>38</v>
      </c>
      <c r="B143" s="5" t="s">
        <v>65</v>
      </c>
      <c r="C143" s="5">
        <v>2</v>
      </c>
      <c r="D143" s="5" t="s">
        <v>16</v>
      </c>
      <c r="E143" s="5" t="s">
        <v>11</v>
      </c>
      <c r="F143" s="5">
        <v>2</v>
      </c>
      <c r="G143" s="5">
        <v>7</v>
      </c>
    </row>
    <row r="144" spans="1:7" s="5" customFormat="1">
      <c r="A144" s="5" t="s">
        <v>38</v>
      </c>
      <c r="B144" s="5" t="s">
        <v>65</v>
      </c>
      <c r="C144" s="5">
        <v>3</v>
      </c>
      <c r="D144" s="5" t="s">
        <v>14</v>
      </c>
      <c r="E144" s="5" t="s">
        <v>10</v>
      </c>
      <c r="F144" s="5">
        <v>2</v>
      </c>
      <c r="G144" s="5">
        <v>7</v>
      </c>
    </row>
    <row r="145" spans="1:7" s="5" customFormat="1">
      <c r="A145" s="5" t="s">
        <v>38</v>
      </c>
      <c r="B145" s="5" t="s">
        <v>65</v>
      </c>
      <c r="C145" s="5">
        <v>3</v>
      </c>
      <c r="D145" s="5" t="s">
        <v>14</v>
      </c>
      <c r="E145" s="5" t="s">
        <v>11</v>
      </c>
      <c r="F145" s="5">
        <v>2</v>
      </c>
      <c r="G145" s="5">
        <v>7</v>
      </c>
    </row>
    <row r="146" spans="1:7" s="5" customFormat="1">
      <c r="A146" s="5" t="s">
        <v>45</v>
      </c>
      <c r="B146" s="5" t="s">
        <v>65</v>
      </c>
      <c r="C146" s="5">
        <v>1</v>
      </c>
      <c r="D146" s="5" t="s">
        <v>15</v>
      </c>
      <c r="E146" s="5" t="s">
        <v>10</v>
      </c>
      <c r="F146" s="5">
        <v>7</v>
      </c>
      <c r="G146" s="5">
        <v>7</v>
      </c>
    </row>
    <row r="147" spans="1:7" s="5" customFormat="1">
      <c r="A147" s="5" t="s">
        <v>45</v>
      </c>
      <c r="B147" s="5" t="s">
        <v>65</v>
      </c>
      <c r="C147" s="5">
        <v>1</v>
      </c>
      <c r="D147" s="5" t="s">
        <v>15</v>
      </c>
      <c r="E147" s="5" t="s">
        <v>11</v>
      </c>
      <c r="F147" s="5">
        <v>7</v>
      </c>
      <c r="G147" s="5">
        <v>7</v>
      </c>
    </row>
    <row r="148" spans="1:7" s="5" customFormat="1">
      <c r="A148" s="5" t="s">
        <v>45</v>
      </c>
      <c r="B148" s="5" t="s">
        <v>65</v>
      </c>
      <c r="C148" s="5">
        <v>2</v>
      </c>
      <c r="D148" s="5" t="s">
        <v>16</v>
      </c>
      <c r="E148" s="5" t="s">
        <v>10</v>
      </c>
      <c r="F148" s="5">
        <v>7</v>
      </c>
      <c r="G148" s="5">
        <v>7</v>
      </c>
    </row>
    <row r="149" spans="1:7" s="5" customFormat="1">
      <c r="A149" s="5" t="s">
        <v>45</v>
      </c>
      <c r="B149" s="5" t="s">
        <v>65</v>
      </c>
      <c r="C149" s="5">
        <v>2</v>
      </c>
      <c r="D149" s="5" t="s">
        <v>16</v>
      </c>
      <c r="E149" s="5" t="s">
        <v>11</v>
      </c>
      <c r="F149" s="5">
        <v>8</v>
      </c>
      <c r="G149" s="5">
        <v>7</v>
      </c>
    </row>
    <row r="150" spans="1:7" s="5" customFormat="1">
      <c r="A150" s="5" t="s">
        <v>45</v>
      </c>
      <c r="B150" s="5" t="s">
        <v>65</v>
      </c>
      <c r="C150" s="5">
        <v>3</v>
      </c>
      <c r="D150" s="5" t="s">
        <v>14</v>
      </c>
      <c r="E150" s="5" t="s">
        <v>10</v>
      </c>
      <c r="F150" s="5">
        <v>8</v>
      </c>
      <c r="G150" s="5">
        <v>7</v>
      </c>
    </row>
    <row r="151" spans="1:7" s="5" customFormat="1">
      <c r="A151" s="5" t="s">
        <v>45</v>
      </c>
      <c r="B151" s="5" t="s">
        <v>65</v>
      </c>
      <c r="C151" s="5">
        <v>3</v>
      </c>
      <c r="D151" s="5" t="s">
        <v>14</v>
      </c>
      <c r="E151" s="5" t="s">
        <v>11</v>
      </c>
      <c r="F151" s="5">
        <v>8</v>
      </c>
      <c r="G151" s="5">
        <v>7</v>
      </c>
    </row>
    <row r="152" spans="1:7" s="5" customFormat="1">
      <c r="A152" s="5" t="s">
        <v>46</v>
      </c>
      <c r="B152" s="5" t="s">
        <v>65</v>
      </c>
      <c r="C152" s="5">
        <v>1</v>
      </c>
      <c r="D152" s="5" t="s">
        <v>14</v>
      </c>
      <c r="E152" s="5" t="s">
        <v>10</v>
      </c>
      <c r="F152" s="5">
        <v>6</v>
      </c>
      <c r="G152" s="5">
        <v>10</v>
      </c>
    </row>
    <row r="153" spans="1:7" s="5" customFormat="1">
      <c r="A153" s="5" t="s">
        <v>46</v>
      </c>
      <c r="B153" s="5" t="s">
        <v>65</v>
      </c>
      <c r="C153" s="5">
        <v>1</v>
      </c>
      <c r="D153" s="5" t="s">
        <v>14</v>
      </c>
      <c r="E153" s="5" t="s">
        <v>11</v>
      </c>
      <c r="F153" s="5">
        <v>6</v>
      </c>
      <c r="G153" s="5">
        <v>10</v>
      </c>
    </row>
    <row r="154" spans="1:7" s="5" customFormat="1">
      <c r="A154" s="5" t="s">
        <v>46</v>
      </c>
      <c r="B154" s="5" t="s">
        <v>65</v>
      </c>
      <c r="C154" s="5">
        <v>2</v>
      </c>
      <c r="D154" s="5" t="s">
        <v>15</v>
      </c>
      <c r="E154" s="5" t="s">
        <v>10</v>
      </c>
      <c r="F154" s="5">
        <v>6</v>
      </c>
      <c r="G154" s="5">
        <v>10</v>
      </c>
    </row>
    <row r="155" spans="1:7" s="5" customFormat="1">
      <c r="A155" s="5" t="s">
        <v>46</v>
      </c>
      <c r="B155" s="5" t="s">
        <v>65</v>
      </c>
      <c r="C155" s="5">
        <v>2</v>
      </c>
      <c r="D155" s="5" t="s">
        <v>15</v>
      </c>
      <c r="E155" s="5" t="s">
        <v>11</v>
      </c>
      <c r="F155" s="5">
        <v>8</v>
      </c>
      <c r="G155" s="5">
        <v>10</v>
      </c>
    </row>
    <row r="156" spans="1:7" s="5" customFormat="1">
      <c r="A156" s="5" t="s">
        <v>46</v>
      </c>
      <c r="B156" s="5" t="s">
        <v>65</v>
      </c>
      <c r="C156" s="5">
        <v>3</v>
      </c>
      <c r="D156" s="5" t="s">
        <v>16</v>
      </c>
      <c r="E156" s="5" t="s">
        <v>10</v>
      </c>
      <c r="F156" s="5">
        <v>8</v>
      </c>
      <c r="G156" s="5">
        <v>10</v>
      </c>
    </row>
    <row r="157" spans="1:7" s="5" customFormat="1">
      <c r="A157" s="5" t="s">
        <v>46</v>
      </c>
      <c r="B157" s="5" t="s">
        <v>65</v>
      </c>
      <c r="C157" s="5">
        <v>3</v>
      </c>
      <c r="D157" s="5" t="s">
        <v>16</v>
      </c>
      <c r="E157" s="5" t="s">
        <v>11</v>
      </c>
      <c r="F157" s="5">
        <v>8</v>
      </c>
      <c r="G157" s="5">
        <v>10</v>
      </c>
    </row>
    <row r="158" spans="1:7" s="5" customFormat="1">
      <c r="A158" s="5" t="s">
        <v>47</v>
      </c>
      <c r="B158" s="5" t="s">
        <v>65</v>
      </c>
      <c r="C158" s="5">
        <v>1</v>
      </c>
      <c r="D158" s="5" t="s">
        <v>16</v>
      </c>
      <c r="E158" s="5" t="s">
        <v>10</v>
      </c>
      <c r="F158" s="5">
        <v>3</v>
      </c>
      <c r="G158" s="5">
        <v>7</v>
      </c>
    </row>
    <row r="159" spans="1:7" s="5" customFormat="1">
      <c r="A159" s="5" t="s">
        <v>47</v>
      </c>
      <c r="B159" s="5" t="s">
        <v>65</v>
      </c>
      <c r="C159" s="5">
        <v>1</v>
      </c>
      <c r="D159" s="5" t="s">
        <v>16</v>
      </c>
      <c r="E159" s="5" t="s">
        <v>11</v>
      </c>
      <c r="F159" s="5">
        <v>4</v>
      </c>
      <c r="G159" s="5">
        <v>7</v>
      </c>
    </row>
    <row r="160" spans="1:7" s="5" customFormat="1">
      <c r="A160" s="5" t="s">
        <v>47</v>
      </c>
      <c r="B160" s="5" t="s">
        <v>65</v>
      </c>
      <c r="C160" s="5">
        <v>2</v>
      </c>
      <c r="D160" s="5" t="s">
        <v>14</v>
      </c>
      <c r="E160" s="5" t="s">
        <v>10</v>
      </c>
      <c r="F160" s="5">
        <v>5</v>
      </c>
      <c r="G160" s="5">
        <v>7</v>
      </c>
    </row>
    <row r="161" spans="1:7" s="5" customFormat="1">
      <c r="A161" s="5" t="s">
        <v>47</v>
      </c>
      <c r="B161" s="5" t="s">
        <v>65</v>
      </c>
      <c r="C161" s="5">
        <v>2</v>
      </c>
      <c r="D161" s="5" t="s">
        <v>14</v>
      </c>
      <c r="E161" s="5" t="s">
        <v>11</v>
      </c>
      <c r="F161" s="5">
        <v>4</v>
      </c>
      <c r="G161" s="5">
        <v>7</v>
      </c>
    </row>
    <row r="162" spans="1:7" s="5" customFormat="1">
      <c r="A162" s="5" t="s">
        <v>47</v>
      </c>
      <c r="B162" s="5" t="s">
        <v>65</v>
      </c>
      <c r="C162" s="5">
        <v>3</v>
      </c>
      <c r="D162" s="5" t="s">
        <v>15</v>
      </c>
      <c r="E162" s="5" t="s">
        <v>10</v>
      </c>
      <c r="F162" s="5">
        <v>5</v>
      </c>
      <c r="G162" s="5">
        <v>7</v>
      </c>
    </row>
    <row r="163" spans="1:7" s="5" customFormat="1">
      <c r="A163" s="5" t="s">
        <v>47</v>
      </c>
      <c r="B163" s="5" t="s">
        <v>65</v>
      </c>
      <c r="C163" s="5">
        <v>3</v>
      </c>
      <c r="D163" s="5" t="s">
        <v>15</v>
      </c>
      <c r="E163" s="5" t="s">
        <v>11</v>
      </c>
      <c r="F163" s="5">
        <v>6</v>
      </c>
      <c r="G163" s="5">
        <v>7</v>
      </c>
    </row>
    <row r="164" spans="1:7" s="5" customFormat="1">
      <c r="A164" s="5" t="s">
        <v>48</v>
      </c>
      <c r="B164" s="5" t="s">
        <v>65</v>
      </c>
      <c r="C164" s="5">
        <v>1</v>
      </c>
      <c r="D164" s="5" t="s">
        <v>20</v>
      </c>
      <c r="E164" s="5" t="s">
        <v>10</v>
      </c>
      <c r="F164" s="5">
        <v>1</v>
      </c>
      <c r="G164" s="5">
        <v>2</v>
      </c>
    </row>
    <row r="165" spans="1:7" s="5" customFormat="1">
      <c r="A165" s="5" t="s">
        <v>48</v>
      </c>
      <c r="B165" s="5" t="s">
        <v>65</v>
      </c>
      <c r="C165" s="5">
        <v>1</v>
      </c>
      <c r="D165" s="5" t="s">
        <v>20</v>
      </c>
      <c r="E165" s="5" t="s">
        <v>11</v>
      </c>
      <c r="F165" s="5">
        <v>3</v>
      </c>
      <c r="G165" s="5">
        <v>2</v>
      </c>
    </row>
    <row r="166" spans="1:7" s="5" customFormat="1">
      <c r="A166" s="5" t="s">
        <v>48</v>
      </c>
      <c r="B166" s="5" t="s">
        <v>65</v>
      </c>
      <c r="C166" s="5">
        <v>2</v>
      </c>
      <c r="D166" s="5" t="s">
        <v>22</v>
      </c>
      <c r="E166" s="5" t="s">
        <v>10</v>
      </c>
      <c r="F166" s="5">
        <v>2</v>
      </c>
      <c r="G166" s="5">
        <v>2</v>
      </c>
    </row>
    <row r="167" spans="1:7" s="5" customFormat="1">
      <c r="A167" s="5" t="s">
        <v>48</v>
      </c>
      <c r="B167" s="5" t="s">
        <v>65</v>
      </c>
      <c r="C167" s="5">
        <v>2</v>
      </c>
      <c r="D167" s="5" t="s">
        <v>22</v>
      </c>
      <c r="E167" s="5" t="s">
        <v>11</v>
      </c>
      <c r="F167" s="5">
        <v>3</v>
      </c>
      <c r="G167" s="5">
        <v>2</v>
      </c>
    </row>
    <row r="168" spans="1:7" s="5" customFormat="1">
      <c r="A168" s="5" t="s">
        <v>48</v>
      </c>
      <c r="B168" s="5" t="s">
        <v>65</v>
      </c>
      <c r="C168" s="5">
        <v>3</v>
      </c>
      <c r="D168" s="5" t="s">
        <v>21</v>
      </c>
      <c r="E168" s="5" t="s">
        <v>10</v>
      </c>
      <c r="F168" s="5">
        <v>2</v>
      </c>
      <c r="G168" s="5">
        <v>2</v>
      </c>
    </row>
    <row r="169" spans="1:7" s="5" customFormat="1">
      <c r="A169" s="5" t="s">
        <v>48</v>
      </c>
      <c r="B169" s="5" t="s">
        <v>65</v>
      </c>
      <c r="C169" s="5">
        <v>3</v>
      </c>
      <c r="D169" s="5" t="s">
        <v>21</v>
      </c>
      <c r="E169" s="5" t="s">
        <v>11</v>
      </c>
      <c r="F169" s="5">
        <v>3</v>
      </c>
      <c r="G169" s="5">
        <v>2</v>
      </c>
    </row>
    <row r="170" spans="1:7" s="5" customFormat="1">
      <c r="A170" s="5" t="s">
        <v>49</v>
      </c>
      <c r="B170" s="5" t="s">
        <v>65</v>
      </c>
      <c r="C170" s="5">
        <v>1</v>
      </c>
      <c r="D170" s="5" t="s">
        <v>22</v>
      </c>
      <c r="E170" s="5" t="s">
        <v>10</v>
      </c>
      <c r="F170" s="5">
        <v>4</v>
      </c>
      <c r="G170" s="5">
        <v>3</v>
      </c>
    </row>
    <row r="171" spans="1:7" s="5" customFormat="1">
      <c r="A171" s="5" t="s">
        <v>49</v>
      </c>
      <c r="B171" s="5" t="s">
        <v>65</v>
      </c>
      <c r="C171" s="5">
        <v>1</v>
      </c>
      <c r="D171" s="5" t="s">
        <v>22</v>
      </c>
      <c r="E171" s="5" t="s">
        <v>11</v>
      </c>
      <c r="F171" s="5">
        <v>6</v>
      </c>
      <c r="G171" s="5">
        <v>3</v>
      </c>
    </row>
    <row r="172" spans="1:7" s="5" customFormat="1">
      <c r="A172" s="5" t="s">
        <v>49</v>
      </c>
      <c r="B172" s="5" t="s">
        <v>65</v>
      </c>
      <c r="C172" s="5">
        <v>2</v>
      </c>
      <c r="D172" s="5" t="s">
        <v>21</v>
      </c>
      <c r="E172" s="5" t="s">
        <v>10</v>
      </c>
      <c r="F172" s="5">
        <v>6</v>
      </c>
      <c r="G172" s="5">
        <v>3</v>
      </c>
    </row>
    <row r="173" spans="1:7" s="5" customFormat="1">
      <c r="A173" s="5" t="s">
        <v>49</v>
      </c>
      <c r="B173" s="5" t="s">
        <v>65</v>
      </c>
      <c r="C173" s="5">
        <v>2</v>
      </c>
      <c r="D173" s="5" t="s">
        <v>21</v>
      </c>
      <c r="E173" s="5" t="s">
        <v>11</v>
      </c>
      <c r="F173" s="5">
        <v>8</v>
      </c>
      <c r="G173" s="5">
        <v>3</v>
      </c>
    </row>
    <row r="174" spans="1:7" s="5" customFormat="1">
      <c r="A174" s="5" t="s">
        <v>49</v>
      </c>
      <c r="B174" s="5" t="s">
        <v>65</v>
      </c>
      <c r="C174" s="5">
        <v>3</v>
      </c>
      <c r="D174" s="5" t="s">
        <v>20</v>
      </c>
      <c r="E174" s="5" t="s">
        <v>10</v>
      </c>
      <c r="F174" s="5">
        <v>5</v>
      </c>
      <c r="G174" s="5">
        <v>3</v>
      </c>
    </row>
    <row r="175" spans="1:7" s="5" customFormat="1">
      <c r="A175" s="5" t="s">
        <v>49</v>
      </c>
      <c r="B175" s="5" t="s">
        <v>65</v>
      </c>
      <c r="C175" s="5">
        <v>3</v>
      </c>
      <c r="D175" s="5" t="s">
        <v>20</v>
      </c>
      <c r="E175" s="5" t="s">
        <v>11</v>
      </c>
      <c r="F175" s="5">
        <v>7</v>
      </c>
      <c r="G175" s="5">
        <v>3</v>
      </c>
    </row>
    <row r="176" spans="1:7" s="5" customFormat="1">
      <c r="A176" s="5" t="s">
        <v>59</v>
      </c>
      <c r="B176" s="5" t="s">
        <v>65</v>
      </c>
      <c r="C176" s="5">
        <v>1</v>
      </c>
      <c r="D176" s="5" t="s">
        <v>21</v>
      </c>
      <c r="E176" s="5" t="s">
        <v>10</v>
      </c>
      <c r="F176" s="5">
        <v>3</v>
      </c>
      <c r="G176" s="5">
        <v>8</v>
      </c>
    </row>
    <row r="177" spans="1:7" s="5" customFormat="1">
      <c r="A177" s="5" t="s">
        <v>59</v>
      </c>
      <c r="B177" s="5" t="s">
        <v>65</v>
      </c>
      <c r="C177" s="5">
        <v>1</v>
      </c>
      <c r="D177" s="5" t="s">
        <v>21</v>
      </c>
      <c r="E177" s="5" t="s">
        <v>11</v>
      </c>
      <c r="F177" s="5">
        <v>6</v>
      </c>
      <c r="G177" s="5">
        <v>8</v>
      </c>
    </row>
    <row r="178" spans="1:7" s="5" customFormat="1">
      <c r="A178" s="5" t="s">
        <v>59</v>
      </c>
      <c r="B178" s="5" t="s">
        <v>65</v>
      </c>
      <c r="C178" s="5">
        <v>2</v>
      </c>
      <c r="D178" s="5" t="s">
        <v>20</v>
      </c>
      <c r="E178" s="5" t="s">
        <v>10</v>
      </c>
      <c r="F178" s="5">
        <v>3</v>
      </c>
      <c r="G178" s="5">
        <v>8</v>
      </c>
    </row>
    <row r="179" spans="1:7" s="5" customFormat="1">
      <c r="A179" s="5" t="s">
        <v>59</v>
      </c>
      <c r="B179" s="5" t="s">
        <v>65</v>
      </c>
      <c r="C179" s="5">
        <v>2</v>
      </c>
      <c r="D179" s="5" t="s">
        <v>20</v>
      </c>
      <c r="E179" s="5" t="s">
        <v>11</v>
      </c>
      <c r="F179" s="5">
        <v>5</v>
      </c>
      <c r="G179" s="5">
        <v>8</v>
      </c>
    </row>
    <row r="180" spans="1:7" s="5" customFormat="1">
      <c r="A180" s="5" t="s">
        <v>59</v>
      </c>
      <c r="B180" s="5" t="s">
        <v>65</v>
      </c>
      <c r="C180" s="5">
        <v>3</v>
      </c>
      <c r="D180" s="5" t="s">
        <v>22</v>
      </c>
      <c r="E180" s="5" t="s">
        <v>10</v>
      </c>
      <c r="F180" s="5">
        <v>4</v>
      </c>
      <c r="G180" s="5">
        <v>8</v>
      </c>
    </row>
    <row r="181" spans="1:7" s="5" customFormat="1">
      <c r="A181" s="5" t="s">
        <v>59</v>
      </c>
      <c r="B181" s="5" t="s">
        <v>65</v>
      </c>
      <c r="C181" s="5">
        <v>3</v>
      </c>
      <c r="D181" s="5" t="s">
        <v>22</v>
      </c>
      <c r="E181" s="5" t="s">
        <v>11</v>
      </c>
      <c r="F181" s="5">
        <v>6</v>
      </c>
      <c r="G181" s="5">
        <v>8</v>
      </c>
    </row>
    <row r="182" spans="1:7" s="5" customFormat="1">
      <c r="A182" s="5" t="s">
        <v>60</v>
      </c>
      <c r="B182" s="5" t="s">
        <v>65</v>
      </c>
      <c r="C182" s="5">
        <v>1</v>
      </c>
      <c r="D182" s="5" t="s">
        <v>21</v>
      </c>
      <c r="E182" s="5" t="s">
        <v>10</v>
      </c>
      <c r="F182" s="5">
        <v>3</v>
      </c>
      <c r="G182" s="5">
        <v>8</v>
      </c>
    </row>
    <row r="183" spans="1:7" s="5" customFormat="1">
      <c r="A183" s="5" t="s">
        <v>60</v>
      </c>
      <c r="B183" s="5" t="s">
        <v>65</v>
      </c>
      <c r="C183" s="5">
        <v>1</v>
      </c>
      <c r="D183" s="5" t="s">
        <v>21</v>
      </c>
      <c r="E183" s="5" t="s">
        <v>11</v>
      </c>
      <c r="F183" s="5">
        <v>8</v>
      </c>
      <c r="G183" s="5">
        <v>8</v>
      </c>
    </row>
    <row r="184" spans="1:7" s="5" customFormat="1">
      <c r="A184" s="5" t="s">
        <v>60</v>
      </c>
      <c r="B184" s="5" t="s">
        <v>65</v>
      </c>
      <c r="C184" s="5">
        <v>2</v>
      </c>
      <c r="D184" s="5" t="s">
        <v>20</v>
      </c>
      <c r="E184" s="5" t="s">
        <v>10</v>
      </c>
      <c r="F184" s="5">
        <v>6</v>
      </c>
      <c r="G184" s="5">
        <v>8</v>
      </c>
    </row>
    <row r="185" spans="1:7" s="5" customFormat="1">
      <c r="A185" s="5" t="s">
        <v>60</v>
      </c>
      <c r="B185" s="5" t="s">
        <v>65</v>
      </c>
      <c r="C185" s="5">
        <v>2</v>
      </c>
      <c r="D185" s="5" t="s">
        <v>20</v>
      </c>
      <c r="E185" s="5" t="s">
        <v>11</v>
      </c>
      <c r="F185" s="5">
        <v>5</v>
      </c>
      <c r="G185" s="5">
        <v>8</v>
      </c>
    </row>
    <row r="186" spans="1:7" s="5" customFormat="1">
      <c r="A186" s="5" t="s">
        <v>60</v>
      </c>
      <c r="B186" s="5" t="s">
        <v>65</v>
      </c>
      <c r="C186" s="5">
        <v>3</v>
      </c>
      <c r="D186" s="5" t="s">
        <v>22</v>
      </c>
      <c r="E186" s="5" t="s">
        <v>10</v>
      </c>
      <c r="F186" s="5">
        <v>4</v>
      </c>
      <c r="G186" s="5">
        <v>8</v>
      </c>
    </row>
    <row r="187" spans="1:7" s="5" customFormat="1">
      <c r="A187" s="5" t="s">
        <v>60</v>
      </c>
      <c r="B187" s="5" t="s">
        <v>65</v>
      </c>
      <c r="C187" s="5">
        <v>3</v>
      </c>
      <c r="D187" s="5" t="s">
        <v>22</v>
      </c>
      <c r="E187" s="5" t="s">
        <v>11</v>
      </c>
      <c r="F187" s="5">
        <v>4</v>
      </c>
      <c r="G187" s="5">
        <v>8</v>
      </c>
    </row>
    <row r="188" spans="1:7" s="5" customFormat="1">
      <c r="A188" s="5" t="s">
        <v>61</v>
      </c>
      <c r="B188" s="5" t="s">
        <v>65</v>
      </c>
      <c r="C188" s="5">
        <v>1</v>
      </c>
      <c r="D188" s="5" t="s">
        <v>14</v>
      </c>
      <c r="E188" s="5" t="s">
        <v>10</v>
      </c>
      <c r="F188" s="5">
        <v>2</v>
      </c>
      <c r="G188" s="5">
        <v>8</v>
      </c>
    </row>
    <row r="189" spans="1:7" s="5" customFormat="1">
      <c r="A189" s="5" t="s">
        <v>61</v>
      </c>
      <c r="B189" s="5" t="s">
        <v>65</v>
      </c>
      <c r="C189" s="5">
        <v>1</v>
      </c>
      <c r="D189" s="5" t="s">
        <v>14</v>
      </c>
      <c r="E189" s="5" t="s">
        <v>11</v>
      </c>
      <c r="F189" s="5">
        <v>3</v>
      </c>
      <c r="G189" s="5">
        <v>8</v>
      </c>
    </row>
    <row r="190" spans="1:7" s="5" customFormat="1">
      <c r="A190" s="5" t="s">
        <v>61</v>
      </c>
      <c r="B190" s="5" t="s">
        <v>65</v>
      </c>
      <c r="C190" s="5">
        <v>2</v>
      </c>
      <c r="D190" s="5" t="s">
        <v>21</v>
      </c>
      <c r="E190" s="5" t="s">
        <v>10</v>
      </c>
      <c r="F190" s="5">
        <v>3</v>
      </c>
      <c r="G190" s="5">
        <v>8</v>
      </c>
    </row>
    <row r="191" spans="1:7" s="5" customFormat="1">
      <c r="A191" s="5" t="s">
        <v>61</v>
      </c>
      <c r="B191" s="5" t="s">
        <v>65</v>
      </c>
      <c r="C191" s="5">
        <v>2</v>
      </c>
      <c r="D191" s="5" t="s">
        <v>21</v>
      </c>
      <c r="E191" s="5" t="s">
        <v>11</v>
      </c>
      <c r="F191" s="5">
        <v>3</v>
      </c>
      <c r="G191" s="5">
        <v>8</v>
      </c>
    </row>
    <row r="192" spans="1:7" s="5" customFormat="1">
      <c r="A192" s="5" t="s">
        <v>61</v>
      </c>
      <c r="B192" s="5" t="s">
        <v>65</v>
      </c>
      <c r="C192" s="5">
        <v>3</v>
      </c>
      <c r="D192" s="5" t="s">
        <v>22</v>
      </c>
      <c r="E192" s="5" t="s">
        <v>10</v>
      </c>
      <c r="F192" s="5">
        <v>3</v>
      </c>
      <c r="G192" s="5">
        <v>8</v>
      </c>
    </row>
    <row r="193" spans="1:7" s="5" customFormat="1">
      <c r="A193" s="5" t="s">
        <v>61</v>
      </c>
      <c r="B193" s="5" t="s">
        <v>65</v>
      </c>
      <c r="C193" s="5">
        <v>3</v>
      </c>
      <c r="D193" s="5" t="s">
        <v>22</v>
      </c>
      <c r="E193" s="5" t="s">
        <v>11</v>
      </c>
      <c r="F193" s="5">
        <v>3</v>
      </c>
      <c r="G193" s="5">
        <v>8</v>
      </c>
    </row>
    <row r="194" spans="1:7" s="5" customFormat="1">
      <c r="A194" s="5" t="s">
        <v>62</v>
      </c>
      <c r="B194" s="5" t="s">
        <v>65</v>
      </c>
      <c r="C194" s="5">
        <v>1</v>
      </c>
      <c r="D194" s="5" t="s">
        <v>14</v>
      </c>
      <c r="E194" s="5" t="s">
        <v>10</v>
      </c>
      <c r="F194" s="5">
        <v>6</v>
      </c>
      <c r="G194" s="5">
        <v>5</v>
      </c>
    </row>
    <row r="195" spans="1:7" s="5" customFormat="1">
      <c r="A195" s="5" t="s">
        <v>62</v>
      </c>
      <c r="B195" s="5" t="s">
        <v>65</v>
      </c>
      <c r="C195" s="5">
        <v>1</v>
      </c>
      <c r="D195" s="5" t="s">
        <v>14</v>
      </c>
      <c r="E195" s="5" t="s">
        <v>11</v>
      </c>
      <c r="F195" s="5">
        <v>7</v>
      </c>
      <c r="G195" s="5">
        <v>5</v>
      </c>
    </row>
    <row r="196" spans="1:7" s="5" customFormat="1">
      <c r="A196" s="5" t="s">
        <v>62</v>
      </c>
      <c r="B196" s="5" t="s">
        <v>65</v>
      </c>
      <c r="C196" s="5">
        <v>2</v>
      </c>
      <c r="D196" s="5" t="s">
        <v>22</v>
      </c>
      <c r="E196" s="5" t="s">
        <v>10</v>
      </c>
      <c r="F196" s="5">
        <v>7</v>
      </c>
      <c r="G196" s="5">
        <v>5</v>
      </c>
    </row>
    <row r="197" spans="1:7" s="5" customFormat="1">
      <c r="A197" s="5" t="s">
        <v>62</v>
      </c>
      <c r="B197" s="5" t="s">
        <v>65</v>
      </c>
      <c r="C197" s="5">
        <v>2</v>
      </c>
      <c r="D197" s="5" t="s">
        <v>22</v>
      </c>
      <c r="E197" s="5" t="s">
        <v>11</v>
      </c>
      <c r="F197" s="5">
        <v>7.5</v>
      </c>
      <c r="G197" s="5">
        <v>5</v>
      </c>
    </row>
    <row r="198" spans="1:7" s="5" customFormat="1">
      <c r="A198" s="5" t="s">
        <v>62</v>
      </c>
      <c r="B198" s="5" t="s">
        <v>65</v>
      </c>
      <c r="C198" s="5">
        <v>3</v>
      </c>
      <c r="D198" s="5" t="s">
        <v>21</v>
      </c>
      <c r="E198" s="5" t="s">
        <v>10</v>
      </c>
      <c r="F198" s="5">
        <v>7</v>
      </c>
      <c r="G198" s="5">
        <v>5</v>
      </c>
    </row>
    <row r="199" spans="1:7" s="5" customFormat="1">
      <c r="A199" s="5" t="s">
        <v>62</v>
      </c>
      <c r="B199" s="5" t="s">
        <v>65</v>
      </c>
      <c r="C199" s="5">
        <v>3</v>
      </c>
      <c r="D199" s="5" t="s">
        <v>21</v>
      </c>
      <c r="E199" s="5" t="s">
        <v>11</v>
      </c>
      <c r="F199" s="5">
        <v>8.5</v>
      </c>
      <c r="G199" s="5">
        <v>5</v>
      </c>
    </row>
    <row r="200" spans="1:7" s="6" customFormat="1">
      <c r="A200" s="5" t="s">
        <v>63</v>
      </c>
      <c r="B200" s="5" t="s">
        <v>65</v>
      </c>
      <c r="C200" s="5">
        <v>1</v>
      </c>
      <c r="D200" s="5" t="s">
        <v>22</v>
      </c>
      <c r="E200" s="5" t="s">
        <v>10</v>
      </c>
      <c r="F200" s="5">
        <v>5</v>
      </c>
      <c r="G200" s="5">
        <v>9</v>
      </c>
    </row>
    <row r="201" spans="1:7" s="6" customFormat="1">
      <c r="A201" s="5" t="s">
        <v>63</v>
      </c>
      <c r="B201" s="5" t="s">
        <v>65</v>
      </c>
      <c r="C201" s="5">
        <v>1</v>
      </c>
      <c r="D201" s="5" t="s">
        <v>22</v>
      </c>
      <c r="E201" s="5" t="s">
        <v>11</v>
      </c>
      <c r="F201" s="5">
        <v>7</v>
      </c>
      <c r="G201" s="5">
        <v>9</v>
      </c>
    </row>
    <row r="202" spans="1:7" s="6" customFormat="1">
      <c r="A202" s="5" t="s">
        <v>63</v>
      </c>
      <c r="B202" s="5" t="s">
        <v>65</v>
      </c>
      <c r="C202" s="5">
        <v>2</v>
      </c>
      <c r="D202" s="5" t="s">
        <v>21</v>
      </c>
      <c r="E202" s="5" t="s">
        <v>10</v>
      </c>
      <c r="F202" s="5">
        <v>6</v>
      </c>
      <c r="G202" s="5">
        <v>9</v>
      </c>
    </row>
    <row r="203" spans="1:7" s="6" customFormat="1">
      <c r="A203" s="5" t="s">
        <v>63</v>
      </c>
      <c r="B203" s="5" t="s">
        <v>65</v>
      </c>
      <c r="C203" s="5">
        <v>2</v>
      </c>
      <c r="D203" s="5" t="s">
        <v>21</v>
      </c>
      <c r="E203" s="5" t="s">
        <v>11</v>
      </c>
      <c r="F203" s="5">
        <v>8</v>
      </c>
      <c r="G203" s="5">
        <v>9</v>
      </c>
    </row>
    <row r="204" spans="1:7" s="6" customFormat="1">
      <c r="A204" s="5" t="s">
        <v>63</v>
      </c>
      <c r="B204" s="5" t="s">
        <v>65</v>
      </c>
      <c r="C204" s="5">
        <v>3</v>
      </c>
      <c r="D204" s="5" t="s">
        <v>14</v>
      </c>
      <c r="E204" s="5" t="s">
        <v>10</v>
      </c>
      <c r="F204" s="5">
        <v>8</v>
      </c>
      <c r="G204" s="5">
        <v>9</v>
      </c>
    </row>
    <row r="205" spans="1:7" s="6" customFormat="1">
      <c r="A205" s="5" t="s">
        <v>63</v>
      </c>
      <c r="B205" s="5" t="s">
        <v>65</v>
      </c>
      <c r="C205" s="5">
        <v>3</v>
      </c>
      <c r="D205" s="5" t="s">
        <v>14</v>
      </c>
      <c r="E205" s="5" t="s">
        <v>11</v>
      </c>
      <c r="F205" s="5">
        <v>8</v>
      </c>
      <c r="G205" s="5">
        <v>9</v>
      </c>
    </row>
    <row r="206" spans="1:7" s="5" customFormat="1">
      <c r="A206" s="5" t="s">
        <v>67</v>
      </c>
      <c r="B206" s="5" t="s">
        <v>65</v>
      </c>
      <c r="C206" s="5">
        <v>1</v>
      </c>
      <c r="D206" s="5" t="s">
        <v>21</v>
      </c>
      <c r="E206" s="5" t="s">
        <v>10</v>
      </c>
      <c r="F206" s="5">
        <v>8</v>
      </c>
      <c r="G206" s="5">
        <v>1</v>
      </c>
    </row>
    <row r="207" spans="1:7" s="5" customFormat="1">
      <c r="A207" s="5" t="s">
        <v>67</v>
      </c>
      <c r="B207" s="5" t="s">
        <v>65</v>
      </c>
      <c r="C207" s="5">
        <v>1</v>
      </c>
      <c r="D207" s="5" t="s">
        <v>21</v>
      </c>
      <c r="E207" s="5" t="s">
        <v>11</v>
      </c>
      <c r="F207" s="5">
        <v>9</v>
      </c>
      <c r="G207" s="5">
        <v>1</v>
      </c>
    </row>
    <row r="208" spans="1:7" s="5" customFormat="1">
      <c r="A208" s="5" t="s">
        <v>67</v>
      </c>
      <c r="B208" s="5" t="s">
        <v>65</v>
      </c>
      <c r="C208" s="5">
        <v>2</v>
      </c>
      <c r="D208" s="5" t="s">
        <v>14</v>
      </c>
      <c r="E208" s="5" t="s">
        <v>10</v>
      </c>
      <c r="F208" s="5">
        <v>9</v>
      </c>
      <c r="G208" s="5">
        <v>1</v>
      </c>
    </row>
    <row r="209" spans="1:7" s="5" customFormat="1">
      <c r="A209" s="5" t="s">
        <v>67</v>
      </c>
      <c r="B209" s="5" t="s">
        <v>65</v>
      </c>
      <c r="C209" s="5">
        <v>2</v>
      </c>
      <c r="D209" s="5" t="s">
        <v>14</v>
      </c>
      <c r="E209" s="5" t="s">
        <v>11</v>
      </c>
      <c r="F209" s="5">
        <v>9</v>
      </c>
      <c r="G209" s="5">
        <v>1</v>
      </c>
    </row>
    <row r="210" spans="1:7" s="5" customFormat="1">
      <c r="A210" s="5" t="s">
        <v>67</v>
      </c>
      <c r="B210" s="5" t="s">
        <v>65</v>
      </c>
      <c r="C210" s="5">
        <v>3</v>
      </c>
      <c r="D210" s="5" t="s">
        <v>22</v>
      </c>
      <c r="E210" s="5" t="s">
        <v>10</v>
      </c>
      <c r="F210" s="5">
        <v>9</v>
      </c>
      <c r="G210" s="5">
        <v>1</v>
      </c>
    </row>
    <row r="211" spans="1:7" s="5" customFormat="1">
      <c r="A211" s="5" t="s">
        <v>67</v>
      </c>
      <c r="B211" s="5" t="s">
        <v>65</v>
      </c>
      <c r="C211" s="5">
        <v>3</v>
      </c>
      <c r="D211" s="5" t="s">
        <v>22</v>
      </c>
      <c r="E211" s="5" t="s">
        <v>11</v>
      </c>
      <c r="F211" s="5">
        <v>9</v>
      </c>
      <c r="G211" s="5">
        <v>1</v>
      </c>
    </row>
    <row r="212" spans="1:7" s="5" customFormat="1">
      <c r="A212" s="5" t="s">
        <v>68</v>
      </c>
      <c r="B212" s="5" t="s">
        <v>65</v>
      </c>
      <c r="C212" s="5">
        <v>1</v>
      </c>
      <c r="D212" s="5" t="s">
        <v>21</v>
      </c>
      <c r="E212" s="5" t="s">
        <v>10</v>
      </c>
      <c r="F212" s="5">
        <v>3</v>
      </c>
      <c r="G212" s="5">
        <v>2</v>
      </c>
    </row>
    <row r="213" spans="1:7" s="5" customFormat="1">
      <c r="A213" s="5" t="s">
        <v>68</v>
      </c>
      <c r="B213" s="5" t="s">
        <v>65</v>
      </c>
      <c r="C213" s="5">
        <v>1</v>
      </c>
      <c r="D213" s="5" t="s">
        <v>21</v>
      </c>
      <c r="E213" s="5" t="s">
        <v>11</v>
      </c>
      <c r="F213" s="5">
        <v>4</v>
      </c>
      <c r="G213" s="5">
        <v>2</v>
      </c>
    </row>
    <row r="214" spans="1:7" s="5" customFormat="1">
      <c r="A214" s="5" t="s">
        <v>68</v>
      </c>
      <c r="B214" s="5" t="s">
        <v>65</v>
      </c>
      <c r="C214" s="5">
        <v>2</v>
      </c>
      <c r="D214" s="5" t="s">
        <v>22</v>
      </c>
      <c r="E214" s="5" t="s">
        <v>10</v>
      </c>
      <c r="F214" s="5">
        <v>4</v>
      </c>
      <c r="G214" s="5">
        <v>2</v>
      </c>
    </row>
    <row r="215" spans="1:7" s="5" customFormat="1">
      <c r="A215" s="5" t="s">
        <v>68</v>
      </c>
      <c r="B215" s="5" t="s">
        <v>65</v>
      </c>
      <c r="C215" s="5">
        <v>2</v>
      </c>
      <c r="D215" s="5" t="s">
        <v>22</v>
      </c>
      <c r="E215" s="5" t="s">
        <v>11</v>
      </c>
      <c r="F215" s="5">
        <v>4</v>
      </c>
      <c r="G215" s="5">
        <v>2</v>
      </c>
    </row>
    <row r="216" spans="1:7" s="5" customFormat="1">
      <c r="A216" s="5" t="s">
        <v>68</v>
      </c>
      <c r="B216" s="5" t="s">
        <v>65</v>
      </c>
      <c r="C216" s="5">
        <v>3</v>
      </c>
      <c r="D216" s="5" t="s">
        <v>14</v>
      </c>
      <c r="E216" s="5" t="s">
        <v>10</v>
      </c>
      <c r="F216" s="5">
        <v>4</v>
      </c>
      <c r="G216" s="5">
        <v>2</v>
      </c>
    </row>
    <row r="217" spans="1:7" s="5" customFormat="1">
      <c r="A217" s="5" t="s">
        <v>68</v>
      </c>
      <c r="B217" s="5" t="s">
        <v>65</v>
      </c>
      <c r="C217" s="5">
        <v>3</v>
      </c>
      <c r="D217" s="5" t="s">
        <v>14</v>
      </c>
      <c r="E217" s="5" t="s">
        <v>11</v>
      </c>
      <c r="F217" s="5">
        <v>4</v>
      </c>
      <c r="G217" s="5">
        <v>2</v>
      </c>
    </row>
    <row r="218" spans="1:7" s="5" customFormat="1">
      <c r="A218" s="5" t="s">
        <v>70</v>
      </c>
      <c r="B218" s="5" t="s">
        <v>65</v>
      </c>
      <c r="C218" s="5">
        <v>1</v>
      </c>
      <c r="D218" s="5" t="s">
        <v>14</v>
      </c>
      <c r="E218" s="5" t="s">
        <v>10</v>
      </c>
      <c r="F218" s="5">
        <v>2</v>
      </c>
      <c r="G218" s="5">
        <v>15</v>
      </c>
    </row>
    <row r="219" spans="1:7" s="5" customFormat="1">
      <c r="A219" s="5" t="s">
        <v>70</v>
      </c>
      <c r="B219" s="5" t="s">
        <v>65</v>
      </c>
      <c r="C219" s="5">
        <v>1</v>
      </c>
      <c r="D219" s="5" t="s">
        <v>14</v>
      </c>
      <c r="E219" s="5" t="s">
        <v>11</v>
      </c>
      <c r="F219" s="5">
        <v>6</v>
      </c>
      <c r="G219" s="5">
        <v>15</v>
      </c>
    </row>
    <row r="220" spans="1:7" s="5" customFormat="1">
      <c r="A220" s="5" t="s">
        <v>70</v>
      </c>
      <c r="B220" s="5" t="s">
        <v>65</v>
      </c>
      <c r="C220" s="5">
        <v>2</v>
      </c>
      <c r="D220" s="5" t="s">
        <v>15</v>
      </c>
      <c r="E220" s="5" t="s">
        <v>10</v>
      </c>
      <c r="F220" s="5">
        <v>2</v>
      </c>
      <c r="G220" s="5">
        <v>15</v>
      </c>
    </row>
    <row r="221" spans="1:7" s="5" customFormat="1">
      <c r="A221" s="5" t="s">
        <v>70</v>
      </c>
      <c r="B221" s="5" t="s">
        <v>65</v>
      </c>
      <c r="C221" s="5">
        <v>2</v>
      </c>
      <c r="D221" s="5" t="s">
        <v>15</v>
      </c>
      <c r="E221" s="5" t="s">
        <v>11</v>
      </c>
      <c r="F221" s="5">
        <v>8</v>
      </c>
      <c r="G221" s="5">
        <v>15</v>
      </c>
    </row>
    <row r="222" spans="1:7" s="5" customFormat="1">
      <c r="A222" s="5" t="s">
        <v>70</v>
      </c>
      <c r="B222" s="5" t="s">
        <v>65</v>
      </c>
      <c r="C222" s="5">
        <v>3</v>
      </c>
      <c r="D222" s="5" t="s">
        <v>16</v>
      </c>
      <c r="E222" s="5" t="s">
        <v>10</v>
      </c>
      <c r="F222" s="5">
        <v>3</v>
      </c>
      <c r="G222" s="5">
        <v>15</v>
      </c>
    </row>
    <row r="223" spans="1:7" s="5" customFormat="1">
      <c r="A223" s="5" t="s">
        <v>70</v>
      </c>
      <c r="B223" s="5" t="s">
        <v>65</v>
      </c>
      <c r="C223" s="5">
        <v>3</v>
      </c>
      <c r="D223" s="5" t="s">
        <v>16</v>
      </c>
      <c r="E223" s="5" t="s">
        <v>11</v>
      </c>
      <c r="F223" s="5">
        <v>9</v>
      </c>
      <c r="G223" s="5">
        <v>15</v>
      </c>
    </row>
    <row r="224" spans="1:7" s="5" customFormat="1">
      <c r="A224" s="5" t="s">
        <v>141</v>
      </c>
      <c r="B224" s="5" t="s">
        <v>65</v>
      </c>
      <c r="C224" s="5">
        <v>1</v>
      </c>
      <c r="D224" s="5" t="s">
        <v>16</v>
      </c>
      <c r="E224" s="5" t="s">
        <v>10</v>
      </c>
      <c r="F224" s="5">
        <v>3</v>
      </c>
      <c r="G224" s="5">
        <v>2</v>
      </c>
    </row>
    <row r="225" spans="1:7" s="5" customFormat="1">
      <c r="A225" s="5" t="s">
        <v>141</v>
      </c>
      <c r="B225" s="5" t="s">
        <v>65</v>
      </c>
      <c r="C225" s="5">
        <v>1</v>
      </c>
      <c r="D225" s="5" t="s">
        <v>16</v>
      </c>
      <c r="E225" s="5" t="s">
        <v>11</v>
      </c>
      <c r="F225" s="5">
        <v>6</v>
      </c>
      <c r="G225" s="5">
        <v>2</v>
      </c>
    </row>
    <row r="226" spans="1:7" s="5" customFormat="1">
      <c r="A226" s="5" t="s">
        <v>141</v>
      </c>
      <c r="B226" s="5" t="s">
        <v>65</v>
      </c>
      <c r="C226" s="5">
        <v>2</v>
      </c>
      <c r="D226" s="5" t="s">
        <v>14</v>
      </c>
      <c r="E226" s="5" t="s">
        <v>10</v>
      </c>
      <c r="F226" s="5">
        <v>6</v>
      </c>
      <c r="G226" s="5">
        <v>2</v>
      </c>
    </row>
    <row r="227" spans="1:7" s="5" customFormat="1">
      <c r="A227" s="5" t="s">
        <v>141</v>
      </c>
      <c r="B227" s="5" t="s">
        <v>65</v>
      </c>
      <c r="C227" s="5">
        <v>2</v>
      </c>
      <c r="D227" s="5" t="s">
        <v>14</v>
      </c>
      <c r="E227" s="5" t="s">
        <v>11</v>
      </c>
      <c r="F227" s="5">
        <v>8</v>
      </c>
      <c r="G227" s="5">
        <v>2</v>
      </c>
    </row>
    <row r="228" spans="1:7" s="5" customFormat="1">
      <c r="A228" s="5" t="s">
        <v>141</v>
      </c>
      <c r="B228" s="5" t="s">
        <v>65</v>
      </c>
      <c r="C228" s="5">
        <v>3</v>
      </c>
      <c r="D228" s="5" t="s">
        <v>15</v>
      </c>
      <c r="E228" s="5" t="s">
        <v>10</v>
      </c>
      <c r="F228" s="5">
        <v>8</v>
      </c>
      <c r="G228" s="5">
        <v>2</v>
      </c>
    </row>
    <row r="229" spans="1:7" s="5" customFormat="1">
      <c r="A229" s="5" t="s">
        <v>141</v>
      </c>
      <c r="B229" s="5" t="s">
        <v>65</v>
      </c>
      <c r="C229" s="5">
        <v>3</v>
      </c>
      <c r="D229" s="5" t="s">
        <v>15</v>
      </c>
      <c r="E229" s="5" t="s">
        <v>11</v>
      </c>
      <c r="F229" s="5">
        <v>8</v>
      </c>
      <c r="G229" s="5">
        <v>2</v>
      </c>
    </row>
  </sheetData>
  <sortState xmlns:xlrd2="http://schemas.microsoft.com/office/spreadsheetml/2017/richdata2" ref="A2:G229">
    <sortCondition ref="A2:A22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0085-B522-BE43-8D18-4E20499BD6A4}">
  <sheetPr codeName="Sheet4"/>
  <dimension ref="A1:S685"/>
  <sheetViews>
    <sheetView topLeftCell="E1" zoomScale="75" zoomScaleNormal="100" workbookViewId="0">
      <selection activeCell="P16" sqref="P16"/>
    </sheetView>
  </sheetViews>
  <sheetFormatPr baseColWidth="10" defaultColWidth="14.6640625" defaultRowHeight="18"/>
  <cols>
    <col min="1" max="2" width="14.6640625" style="23"/>
    <col min="3" max="7" width="14.6640625" style="23" customWidth="1"/>
    <col min="8" max="8" width="23.1640625" style="23" customWidth="1"/>
    <col min="9" max="12" width="14.6640625" style="62" customWidth="1"/>
    <col min="13" max="13" width="14.6640625" style="23" customWidth="1"/>
    <col min="14" max="14" width="40.33203125" style="23" customWidth="1"/>
    <col min="15" max="17" width="29.83203125" style="23" customWidth="1"/>
    <col min="18" max="18" width="34" style="23" customWidth="1"/>
    <col min="19" max="19" width="32" style="25" customWidth="1"/>
    <col min="20" max="16384" width="14.6640625" style="25"/>
  </cols>
  <sheetData>
    <row r="1" spans="1:19" s="23" customFormat="1" ht="38">
      <c r="A1" s="55" t="s">
        <v>1</v>
      </c>
      <c r="B1" s="55" t="s">
        <v>464</v>
      </c>
      <c r="C1" s="55" t="s">
        <v>12</v>
      </c>
      <c r="D1" s="55" t="s">
        <v>163</v>
      </c>
      <c r="E1" s="55" t="s">
        <v>55</v>
      </c>
      <c r="F1" s="55" t="s">
        <v>53</v>
      </c>
      <c r="G1" s="55" t="s">
        <v>277</v>
      </c>
      <c r="H1" s="55" t="s">
        <v>399</v>
      </c>
      <c r="I1" s="59" t="s">
        <v>401</v>
      </c>
      <c r="J1" s="59" t="s">
        <v>77</v>
      </c>
      <c r="K1" s="59" t="s">
        <v>403</v>
      </c>
      <c r="L1" s="59" t="s">
        <v>55</v>
      </c>
      <c r="M1" s="55" t="s">
        <v>159</v>
      </c>
      <c r="N1" s="56" t="s">
        <v>397</v>
      </c>
      <c r="O1" s="30" t="s">
        <v>398</v>
      </c>
      <c r="P1" s="30" t="s">
        <v>460</v>
      </c>
      <c r="Q1" s="30" t="s">
        <v>461</v>
      </c>
      <c r="R1" s="56" t="s">
        <v>54</v>
      </c>
      <c r="S1" s="56" t="s">
        <v>396</v>
      </c>
    </row>
    <row r="2" spans="1:19">
      <c r="A2" s="23" t="s">
        <v>0</v>
      </c>
      <c r="B2" s="23" t="s">
        <v>57</v>
      </c>
      <c r="C2" s="23" t="s">
        <v>14</v>
      </c>
      <c r="D2" s="23" t="s">
        <v>164</v>
      </c>
      <c r="E2" s="23">
        <v>1</v>
      </c>
      <c r="F2" s="23" t="s">
        <v>50</v>
      </c>
      <c r="G2" s="23" t="s">
        <v>147</v>
      </c>
      <c r="H2" s="23">
        <v>1</v>
      </c>
      <c r="I2" s="23">
        <v>52</v>
      </c>
      <c r="J2" s="23">
        <v>4000</v>
      </c>
      <c r="K2" s="23">
        <v>22</v>
      </c>
      <c r="L2" s="23">
        <v>1</v>
      </c>
      <c r="M2" s="23" t="s">
        <v>160</v>
      </c>
      <c r="N2" s="23">
        <v>0</v>
      </c>
      <c r="P2" s="23">
        <v>0</v>
      </c>
      <c r="S2" s="23"/>
    </row>
    <row r="3" spans="1:19">
      <c r="A3" s="23" t="s">
        <v>0</v>
      </c>
      <c r="B3" s="23" t="s">
        <v>57</v>
      </c>
      <c r="C3" s="23" t="s">
        <v>14</v>
      </c>
      <c r="D3" s="23" t="s">
        <v>164</v>
      </c>
      <c r="E3" s="23">
        <v>1</v>
      </c>
      <c r="F3" s="23" t="s">
        <v>50</v>
      </c>
      <c r="G3" s="23" t="s">
        <v>148</v>
      </c>
      <c r="H3" s="23">
        <v>2</v>
      </c>
      <c r="I3" s="23">
        <v>52</v>
      </c>
      <c r="J3" s="23">
        <v>4000</v>
      </c>
      <c r="K3" s="23">
        <v>22</v>
      </c>
      <c r="L3" s="23">
        <v>1</v>
      </c>
      <c r="M3" s="23" t="s">
        <v>161</v>
      </c>
      <c r="N3" s="23">
        <v>0</v>
      </c>
      <c r="P3" s="23">
        <v>0</v>
      </c>
      <c r="S3" s="23"/>
    </row>
    <row r="4" spans="1:19" s="24" customFormat="1" ht="21" customHeight="1">
      <c r="A4" s="23" t="s">
        <v>56</v>
      </c>
      <c r="B4" s="23" t="s">
        <v>57</v>
      </c>
      <c r="C4" s="23" t="s">
        <v>14</v>
      </c>
      <c r="D4" s="23" t="s">
        <v>164</v>
      </c>
      <c r="E4" s="23">
        <v>1</v>
      </c>
      <c r="F4" s="23" t="s">
        <v>50</v>
      </c>
      <c r="G4" s="23" t="s">
        <v>149</v>
      </c>
      <c r="H4" s="23">
        <v>3</v>
      </c>
      <c r="I4" s="23">
        <v>52</v>
      </c>
      <c r="J4" s="23">
        <v>4000</v>
      </c>
      <c r="K4" s="23">
        <v>22</v>
      </c>
      <c r="L4" s="23">
        <v>1</v>
      </c>
      <c r="M4" s="23" t="s">
        <v>160</v>
      </c>
      <c r="N4" s="23">
        <v>0</v>
      </c>
      <c r="O4" s="23"/>
      <c r="P4" s="23">
        <v>0</v>
      </c>
      <c r="Q4" s="23"/>
      <c r="R4" s="23"/>
      <c r="S4" s="23"/>
    </row>
    <row r="5" spans="1:19" ht="21" customHeight="1">
      <c r="A5" s="23" t="s">
        <v>56</v>
      </c>
      <c r="B5" s="23" t="s">
        <v>57</v>
      </c>
      <c r="C5" s="23" t="s">
        <v>14</v>
      </c>
      <c r="D5" s="23" t="s">
        <v>164</v>
      </c>
      <c r="E5" s="23">
        <v>1</v>
      </c>
      <c r="F5" s="23" t="s">
        <v>50</v>
      </c>
      <c r="G5" s="23" t="s">
        <v>150</v>
      </c>
      <c r="H5" s="23">
        <v>4</v>
      </c>
      <c r="I5" s="23">
        <v>52</v>
      </c>
      <c r="J5" s="23">
        <v>4000</v>
      </c>
      <c r="K5" s="23">
        <v>22</v>
      </c>
      <c r="L5" s="23">
        <v>1</v>
      </c>
      <c r="M5" s="23" t="s">
        <v>161</v>
      </c>
      <c r="N5" s="23">
        <v>0</v>
      </c>
      <c r="P5" s="23">
        <v>0</v>
      </c>
      <c r="S5" s="23"/>
    </row>
    <row r="6" spans="1:19">
      <c r="A6" s="23" t="s">
        <v>56</v>
      </c>
      <c r="B6" s="23" t="s">
        <v>57</v>
      </c>
      <c r="C6" s="23" t="s">
        <v>14</v>
      </c>
      <c r="D6" s="23" t="s">
        <v>164</v>
      </c>
      <c r="E6" s="23">
        <v>1</v>
      </c>
      <c r="F6" s="23" t="s">
        <v>50</v>
      </c>
      <c r="G6" s="23" t="s">
        <v>151</v>
      </c>
      <c r="H6" s="23">
        <v>5</v>
      </c>
      <c r="I6" s="23">
        <v>52</v>
      </c>
      <c r="J6" s="23">
        <v>4000</v>
      </c>
      <c r="K6" s="23">
        <v>22</v>
      </c>
      <c r="L6" s="23">
        <v>1</v>
      </c>
      <c r="M6" s="23" t="s">
        <v>161</v>
      </c>
      <c r="N6" s="23">
        <v>0</v>
      </c>
      <c r="P6" s="23">
        <v>0</v>
      </c>
      <c r="S6" s="23"/>
    </row>
    <row r="7" spans="1:19">
      <c r="A7" s="23" t="s">
        <v>56</v>
      </c>
      <c r="B7" s="23" t="s">
        <v>57</v>
      </c>
      <c r="C7" s="23" t="s">
        <v>14</v>
      </c>
      <c r="D7" s="23" t="s">
        <v>164</v>
      </c>
      <c r="E7" s="23">
        <v>1</v>
      </c>
      <c r="F7" s="23" t="s">
        <v>50</v>
      </c>
      <c r="G7" s="23" t="s">
        <v>152</v>
      </c>
      <c r="H7" s="23">
        <v>6</v>
      </c>
      <c r="I7" s="23">
        <v>52</v>
      </c>
      <c r="J7" s="23">
        <v>4000</v>
      </c>
      <c r="K7" s="23">
        <v>22</v>
      </c>
      <c r="L7" s="23">
        <v>1</v>
      </c>
      <c r="M7" s="23" t="s">
        <v>160</v>
      </c>
      <c r="N7" s="23">
        <v>1</v>
      </c>
      <c r="O7" s="23" t="s">
        <v>190</v>
      </c>
      <c r="P7" s="23">
        <v>1</v>
      </c>
      <c r="R7" s="23">
        <v>0</v>
      </c>
      <c r="S7" s="23">
        <v>4.9918355004582882</v>
      </c>
    </row>
    <row r="8" spans="1:19">
      <c r="A8" s="23" t="s">
        <v>56</v>
      </c>
      <c r="B8" s="23" t="s">
        <v>57</v>
      </c>
      <c r="C8" s="23" t="s">
        <v>21</v>
      </c>
      <c r="D8" s="23" t="s">
        <v>164</v>
      </c>
      <c r="E8" s="23">
        <v>3</v>
      </c>
      <c r="F8" s="23" t="s">
        <v>52</v>
      </c>
      <c r="G8" s="23" t="s">
        <v>153</v>
      </c>
      <c r="H8" s="23">
        <v>1</v>
      </c>
      <c r="I8" s="23">
        <v>52</v>
      </c>
      <c r="J8" s="23">
        <v>4000</v>
      </c>
      <c r="K8" s="23">
        <v>22</v>
      </c>
      <c r="L8" s="23">
        <v>3</v>
      </c>
      <c r="M8" s="23" t="s">
        <v>160</v>
      </c>
      <c r="N8" s="23">
        <v>0</v>
      </c>
      <c r="P8" s="23">
        <v>0</v>
      </c>
      <c r="S8" s="23"/>
    </row>
    <row r="9" spans="1:19">
      <c r="A9" s="23" t="s">
        <v>56</v>
      </c>
      <c r="B9" s="23" t="s">
        <v>57</v>
      </c>
      <c r="C9" s="23" t="s">
        <v>21</v>
      </c>
      <c r="D9" s="23" t="s">
        <v>164</v>
      </c>
      <c r="E9" s="23">
        <v>3</v>
      </c>
      <c r="F9" s="23" t="s">
        <v>52</v>
      </c>
      <c r="G9" s="23" t="s">
        <v>154</v>
      </c>
      <c r="H9" s="23">
        <v>2</v>
      </c>
      <c r="I9" s="23">
        <v>52</v>
      </c>
      <c r="J9" s="23">
        <v>4000</v>
      </c>
      <c r="K9" s="23">
        <v>22</v>
      </c>
      <c r="L9" s="23">
        <v>3</v>
      </c>
      <c r="M9" s="23" t="s">
        <v>161</v>
      </c>
      <c r="N9" s="23">
        <v>0</v>
      </c>
      <c r="P9" s="23">
        <v>0</v>
      </c>
      <c r="S9" s="23"/>
    </row>
    <row r="10" spans="1:19">
      <c r="A10" s="23" t="s">
        <v>56</v>
      </c>
      <c r="B10" s="23" t="s">
        <v>57</v>
      </c>
      <c r="C10" s="23" t="s">
        <v>21</v>
      </c>
      <c r="D10" s="23" t="s">
        <v>164</v>
      </c>
      <c r="E10" s="23">
        <v>3</v>
      </c>
      <c r="F10" s="23" t="s">
        <v>51</v>
      </c>
      <c r="G10" s="23" t="s">
        <v>155</v>
      </c>
      <c r="H10" s="23">
        <v>3</v>
      </c>
      <c r="I10" s="23">
        <v>52</v>
      </c>
      <c r="J10" s="23">
        <v>4000</v>
      </c>
      <c r="K10" s="23">
        <v>22</v>
      </c>
      <c r="L10" s="23">
        <v>3</v>
      </c>
      <c r="M10" s="23" t="s">
        <v>161</v>
      </c>
      <c r="N10" s="23">
        <v>0</v>
      </c>
      <c r="P10" s="23">
        <v>0</v>
      </c>
      <c r="S10" s="23"/>
    </row>
    <row r="11" spans="1:19">
      <c r="A11" s="23" t="s">
        <v>56</v>
      </c>
      <c r="B11" s="23" t="s">
        <v>57</v>
      </c>
      <c r="C11" s="23" t="s">
        <v>21</v>
      </c>
      <c r="D11" s="23" t="s">
        <v>164</v>
      </c>
      <c r="E11" s="23">
        <v>3</v>
      </c>
      <c r="F11" s="23" t="s">
        <v>51</v>
      </c>
      <c r="G11" s="23" t="s">
        <v>156</v>
      </c>
      <c r="H11" s="23">
        <v>4</v>
      </c>
      <c r="I11" s="23">
        <v>52</v>
      </c>
      <c r="J11" s="23">
        <v>4000</v>
      </c>
      <c r="K11" s="23">
        <v>22</v>
      </c>
      <c r="L11" s="23">
        <v>3</v>
      </c>
      <c r="M11" s="23" t="s">
        <v>160</v>
      </c>
      <c r="N11" s="23">
        <v>0</v>
      </c>
      <c r="P11" s="23">
        <v>0</v>
      </c>
      <c r="S11" s="23"/>
    </row>
    <row r="12" spans="1:19">
      <c r="A12" s="23" t="s">
        <v>56</v>
      </c>
      <c r="B12" s="23" t="s">
        <v>57</v>
      </c>
      <c r="C12" s="23" t="s">
        <v>21</v>
      </c>
      <c r="D12" s="23" t="s">
        <v>164</v>
      </c>
      <c r="E12" s="23">
        <v>3</v>
      </c>
      <c r="F12" s="23" t="s">
        <v>51</v>
      </c>
      <c r="G12" s="23" t="s">
        <v>157</v>
      </c>
      <c r="H12" s="23">
        <v>5</v>
      </c>
      <c r="I12" s="23">
        <v>52</v>
      </c>
      <c r="J12" s="23">
        <v>4000</v>
      </c>
      <c r="K12" s="23">
        <v>22</v>
      </c>
      <c r="L12" s="23">
        <v>3</v>
      </c>
      <c r="M12" s="23" t="s">
        <v>161</v>
      </c>
      <c r="N12" s="23">
        <v>0</v>
      </c>
      <c r="P12" s="23">
        <v>0</v>
      </c>
      <c r="S12" s="26"/>
    </row>
    <row r="13" spans="1:19">
      <c r="A13" s="23" t="s">
        <v>56</v>
      </c>
      <c r="B13" s="23" t="s">
        <v>57</v>
      </c>
      <c r="C13" s="23" t="s">
        <v>21</v>
      </c>
      <c r="D13" s="23" t="s">
        <v>164</v>
      </c>
      <c r="E13" s="23">
        <v>3</v>
      </c>
      <c r="F13" s="23" t="s">
        <v>51</v>
      </c>
      <c r="G13" s="23" t="s">
        <v>158</v>
      </c>
      <c r="H13" s="23">
        <v>6</v>
      </c>
      <c r="I13" s="23">
        <v>52</v>
      </c>
      <c r="J13" s="23">
        <v>4000</v>
      </c>
      <c r="K13" s="23">
        <v>22</v>
      </c>
      <c r="L13" s="23">
        <v>3</v>
      </c>
      <c r="M13" s="23" t="s">
        <v>160</v>
      </c>
      <c r="N13" s="23">
        <v>1</v>
      </c>
      <c r="O13" s="23" t="s">
        <v>190</v>
      </c>
      <c r="P13" s="23">
        <v>1</v>
      </c>
      <c r="Q13" s="23" t="s">
        <v>190</v>
      </c>
      <c r="R13" s="23">
        <v>0</v>
      </c>
      <c r="S13" s="26">
        <v>5.4704604970869086</v>
      </c>
    </row>
    <row r="14" spans="1:19">
      <c r="A14" s="23" t="s">
        <v>56</v>
      </c>
      <c r="B14" s="23" t="s">
        <v>57</v>
      </c>
      <c r="C14" s="23" t="s">
        <v>22</v>
      </c>
      <c r="D14" s="23" t="s">
        <v>164</v>
      </c>
      <c r="E14" s="23">
        <v>2</v>
      </c>
      <c r="F14" s="23" t="s">
        <v>58</v>
      </c>
      <c r="G14" s="23" t="s">
        <v>156</v>
      </c>
      <c r="H14" s="23">
        <v>1</v>
      </c>
      <c r="I14" s="23">
        <v>52</v>
      </c>
      <c r="J14" s="23">
        <v>4000</v>
      </c>
      <c r="K14" s="23">
        <v>22</v>
      </c>
      <c r="L14" s="23">
        <v>2</v>
      </c>
      <c r="M14" s="23" t="s">
        <v>161</v>
      </c>
      <c r="N14" s="23">
        <v>0</v>
      </c>
      <c r="P14" s="23">
        <v>0</v>
      </c>
      <c r="S14" s="23"/>
    </row>
    <row r="15" spans="1:19">
      <c r="A15" s="23" t="s">
        <v>56</v>
      </c>
      <c r="B15" s="23" t="s">
        <v>57</v>
      </c>
      <c r="C15" s="23" t="s">
        <v>22</v>
      </c>
      <c r="D15" s="23" t="s">
        <v>164</v>
      </c>
      <c r="E15" s="23">
        <v>2</v>
      </c>
      <c r="F15" s="23" t="s">
        <v>58</v>
      </c>
      <c r="G15" s="23" t="s">
        <v>157</v>
      </c>
      <c r="H15" s="23">
        <v>2</v>
      </c>
      <c r="I15" s="23">
        <v>52</v>
      </c>
      <c r="J15" s="23">
        <v>4000</v>
      </c>
      <c r="K15" s="23">
        <v>22</v>
      </c>
      <c r="L15" s="23">
        <v>2</v>
      </c>
      <c r="M15" s="23" t="s">
        <v>160</v>
      </c>
      <c r="N15" s="23">
        <v>0</v>
      </c>
      <c r="P15" s="23">
        <v>0</v>
      </c>
      <c r="S15" s="23"/>
    </row>
    <row r="16" spans="1:19">
      <c r="A16" s="23" t="s">
        <v>56</v>
      </c>
      <c r="B16" s="23" t="s">
        <v>57</v>
      </c>
      <c r="C16" s="23" t="s">
        <v>22</v>
      </c>
      <c r="D16" s="23" t="s">
        <v>164</v>
      </c>
      <c r="E16" s="23">
        <v>2</v>
      </c>
      <c r="F16" s="23" t="s">
        <v>58</v>
      </c>
      <c r="G16" s="23" t="s">
        <v>153</v>
      </c>
      <c r="H16" s="23">
        <v>3</v>
      </c>
      <c r="I16" s="23">
        <v>52</v>
      </c>
      <c r="J16" s="23">
        <v>4000</v>
      </c>
      <c r="K16" s="23">
        <v>22</v>
      </c>
      <c r="L16" s="23">
        <v>2</v>
      </c>
      <c r="M16" s="23" t="s">
        <v>161</v>
      </c>
      <c r="N16" s="23">
        <v>0</v>
      </c>
      <c r="P16" s="23">
        <v>0</v>
      </c>
      <c r="S16" s="23"/>
    </row>
    <row r="17" spans="1:19">
      <c r="A17" s="23" t="s">
        <v>56</v>
      </c>
      <c r="B17" s="23" t="s">
        <v>57</v>
      </c>
      <c r="C17" s="23" t="s">
        <v>22</v>
      </c>
      <c r="D17" s="23" t="s">
        <v>164</v>
      </c>
      <c r="E17" s="23">
        <v>2</v>
      </c>
      <c r="F17" s="23" t="s">
        <v>58</v>
      </c>
      <c r="G17" s="23" t="s">
        <v>158</v>
      </c>
      <c r="H17" s="23">
        <v>4</v>
      </c>
      <c r="I17" s="23">
        <v>52</v>
      </c>
      <c r="J17" s="23">
        <v>4000</v>
      </c>
      <c r="K17" s="23">
        <v>22</v>
      </c>
      <c r="L17" s="23">
        <v>2</v>
      </c>
      <c r="M17" s="23" t="s">
        <v>161</v>
      </c>
      <c r="N17" s="23">
        <v>0</v>
      </c>
      <c r="P17" s="23">
        <v>0</v>
      </c>
      <c r="S17" s="23"/>
    </row>
    <row r="18" spans="1:19">
      <c r="A18" s="23" t="s">
        <v>56</v>
      </c>
      <c r="B18" s="23" t="s">
        <v>57</v>
      </c>
      <c r="C18" s="23" t="s">
        <v>22</v>
      </c>
      <c r="D18" s="23" t="s">
        <v>164</v>
      </c>
      <c r="E18" s="23">
        <v>2</v>
      </c>
      <c r="F18" s="23" t="s">
        <v>58</v>
      </c>
      <c r="G18" s="23" t="s">
        <v>155</v>
      </c>
      <c r="H18" s="23">
        <v>5</v>
      </c>
      <c r="I18" s="23">
        <v>52</v>
      </c>
      <c r="J18" s="23">
        <v>4000</v>
      </c>
      <c r="K18" s="23">
        <v>22</v>
      </c>
      <c r="L18" s="23">
        <v>2</v>
      </c>
      <c r="M18" s="23" t="s">
        <v>160</v>
      </c>
      <c r="N18" s="23">
        <v>0</v>
      </c>
      <c r="P18" s="23">
        <v>0</v>
      </c>
      <c r="S18" s="26"/>
    </row>
    <row r="19" spans="1:19">
      <c r="A19" s="23" t="s">
        <v>56</v>
      </c>
      <c r="B19" s="23" t="s">
        <v>57</v>
      </c>
      <c r="C19" s="23" t="s">
        <v>22</v>
      </c>
      <c r="D19" s="23" t="s">
        <v>164</v>
      </c>
      <c r="E19" s="23">
        <v>2</v>
      </c>
      <c r="F19" s="23" t="s">
        <v>58</v>
      </c>
      <c r="G19" s="23" t="s">
        <v>154</v>
      </c>
      <c r="H19" s="23">
        <v>6</v>
      </c>
      <c r="I19" s="23">
        <v>52</v>
      </c>
      <c r="J19" s="23">
        <v>4000</v>
      </c>
      <c r="K19" s="23">
        <v>22</v>
      </c>
      <c r="L19" s="23">
        <v>2</v>
      </c>
      <c r="M19" s="23" t="s">
        <v>160</v>
      </c>
      <c r="N19" s="23">
        <v>0</v>
      </c>
      <c r="P19" s="23">
        <v>0</v>
      </c>
      <c r="R19" s="23">
        <v>1</v>
      </c>
      <c r="S19" s="26"/>
    </row>
    <row r="20" spans="1:19">
      <c r="A20" s="23" t="s">
        <v>17</v>
      </c>
      <c r="B20" s="23" t="s">
        <v>82</v>
      </c>
      <c r="C20" s="23" t="s">
        <v>21</v>
      </c>
      <c r="D20" s="23" t="s">
        <v>170</v>
      </c>
      <c r="E20" s="23">
        <v>1</v>
      </c>
      <c r="F20" s="23" t="s">
        <v>50</v>
      </c>
      <c r="G20" s="23" t="s">
        <v>147</v>
      </c>
      <c r="H20" s="23">
        <v>1</v>
      </c>
      <c r="I20" s="23">
        <v>27</v>
      </c>
      <c r="J20" s="23">
        <v>5000</v>
      </c>
      <c r="K20" s="23">
        <v>8</v>
      </c>
      <c r="L20" s="23">
        <v>1</v>
      </c>
      <c r="M20" s="23" t="s">
        <v>160</v>
      </c>
      <c r="N20" s="23">
        <v>0</v>
      </c>
      <c r="P20" s="23">
        <v>0</v>
      </c>
      <c r="S20" s="23"/>
    </row>
    <row r="21" spans="1:19">
      <c r="A21" s="23" t="s">
        <v>17</v>
      </c>
      <c r="B21" s="23" t="s">
        <v>82</v>
      </c>
      <c r="C21" s="23" t="s">
        <v>21</v>
      </c>
      <c r="D21" s="23" t="s">
        <v>170</v>
      </c>
      <c r="E21" s="23">
        <v>1</v>
      </c>
      <c r="F21" s="23" t="s">
        <v>50</v>
      </c>
      <c r="G21" s="23" t="s">
        <v>148</v>
      </c>
      <c r="H21" s="23">
        <v>2</v>
      </c>
      <c r="I21" s="23">
        <v>27</v>
      </c>
      <c r="J21" s="23">
        <v>5000</v>
      </c>
      <c r="K21" s="23">
        <v>8</v>
      </c>
      <c r="L21" s="23">
        <v>1</v>
      </c>
      <c r="M21" s="23" t="s">
        <v>161</v>
      </c>
      <c r="N21" s="23">
        <v>0</v>
      </c>
      <c r="P21" s="23">
        <v>0</v>
      </c>
      <c r="S21" s="23"/>
    </row>
    <row r="22" spans="1:19">
      <c r="A22" s="23" t="s">
        <v>88</v>
      </c>
      <c r="B22" s="23" t="s">
        <v>82</v>
      </c>
      <c r="C22" s="23" t="s">
        <v>21</v>
      </c>
      <c r="D22" s="23" t="s">
        <v>167</v>
      </c>
      <c r="E22" s="23">
        <v>1</v>
      </c>
      <c r="F22" s="23" t="s">
        <v>50</v>
      </c>
      <c r="G22" s="23" t="s">
        <v>149</v>
      </c>
      <c r="H22" s="23">
        <v>3</v>
      </c>
      <c r="I22" s="23">
        <v>27</v>
      </c>
      <c r="J22" s="23">
        <v>5000</v>
      </c>
      <c r="K22" s="23">
        <v>8</v>
      </c>
      <c r="L22" s="23">
        <v>1</v>
      </c>
      <c r="M22" s="23" t="s">
        <v>160</v>
      </c>
      <c r="N22" s="23">
        <v>0</v>
      </c>
      <c r="P22" s="23">
        <v>0</v>
      </c>
      <c r="S22" s="23"/>
    </row>
    <row r="23" spans="1:19">
      <c r="A23" s="23" t="s">
        <v>88</v>
      </c>
      <c r="B23" s="23" t="s">
        <v>82</v>
      </c>
      <c r="C23" s="23" t="s">
        <v>21</v>
      </c>
      <c r="D23" s="23" t="s">
        <v>167</v>
      </c>
      <c r="E23" s="23">
        <v>1</v>
      </c>
      <c r="F23" s="23" t="s">
        <v>50</v>
      </c>
      <c r="G23" s="23" t="s">
        <v>150</v>
      </c>
      <c r="H23" s="23">
        <v>4</v>
      </c>
      <c r="I23" s="23">
        <v>27</v>
      </c>
      <c r="J23" s="23">
        <v>5000</v>
      </c>
      <c r="K23" s="23">
        <v>8</v>
      </c>
      <c r="L23" s="23">
        <v>1</v>
      </c>
      <c r="M23" s="23" t="s">
        <v>161</v>
      </c>
      <c r="N23" s="23">
        <v>0</v>
      </c>
      <c r="P23" s="23">
        <v>0</v>
      </c>
      <c r="S23" s="23"/>
    </row>
    <row r="24" spans="1:19">
      <c r="A24" s="23" t="s">
        <v>88</v>
      </c>
      <c r="B24" s="23" t="s">
        <v>82</v>
      </c>
      <c r="C24" s="23" t="s">
        <v>21</v>
      </c>
      <c r="D24" s="23" t="s">
        <v>167</v>
      </c>
      <c r="E24" s="23">
        <v>1</v>
      </c>
      <c r="F24" s="23" t="s">
        <v>50</v>
      </c>
      <c r="G24" s="23" t="s">
        <v>151</v>
      </c>
      <c r="H24" s="23">
        <v>5</v>
      </c>
      <c r="I24" s="23">
        <v>27</v>
      </c>
      <c r="J24" s="23">
        <v>5000</v>
      </c>
      <c r="K24" s="23">
        <v>8</v>
      </c>
      <c r="L24" s="23">
        <v>1</v>
      </c>
      <c r="M24" s="23" t="s">
        <v>161</v>
      </c>
      <c r="N24" s="23">
        <v>0</v>
      </c>
      <c r="P24" s="23">
        <v>0</v>
      </c>
      <c r="S24" s="23"/>
    </row>
    <row r="25" spans="1:19">
      <c r="A25" s="23" t="s">
        <v>88</v>
      </c>
      <c r="B25" s="23" t="s">
        <v>82</v>
      </c>
      <c r="C25" s="23" t="s">
        <v>21</v>
      </c>
      <c r="D25" s="23" t="s">
        <v>167</v>
      </c>
      <c r="E25" s="23">
        <v>1</v>
      </c>
      <c r="F25" s="23" t="s">
        <v>50</v>
      </c>
      <c r="G25" s="23" t="s">
        <v>152</v>
      </c>
      <c r="H25" s="23">
        <v>6</v>
      </c>
      <c r="I25" s="23">
        <v>27</v>
      </c>
      <c r="J25" s="23">
        <v>5000</v>
      </c>
      <c r="K25" s="23">
        <v>8</v>
      </c>
      <c r="L25" s="23">
        <v>1</v>
      </c>
      <c r="M25" s="23" t="s">
        <v>160</v>
      </c>
      <c r="N25" s="23">
        <v>1</v>
      </c>
      <c r="O25" s="23" t="s">
        <v>190</v>
      </c>
      <c r="P25" s="23">
        <v>1</v>
      </c>
      <c r="Q25" s="23" t="s">
        <v>190</v>
      </c>
      <c r="R25" s="23">
        <v>0</v>
      </c>
      <c r="S25" s="23">
        <v>3.6111963945052539</v>
      </c>
    </row>
    <row r="26" spans="1:19">
      <c r="A26" s="23" t="s">
        <v>88</v>
      </c>
      <c r="B26" s="23" t="s">
        <v>82</v>
      </c>
      <c r="C26" s="23" t="s">
        <v>14</v>
      </c>
      <c r="D26" s="23" t="s">
        <v>167</v>
      </c>
      <c r="E26" s="23">
        <v>3</v>
      </c>
      <c r="F26" s="23" t="s">
        <v>52</v>
      </c>
      <c r="G26" s="23" t="s">
        <v>153</v>
      </c>
      <c r="H26" s="23">
        <v>1</v>
      </c>
      <c r="I26" s="23">
        <v>27</v>
      </c>
      <c r="J26" s="23">
        <v>5000</v>
      </c>
      <c r="K26" s="23">
        <v>8</v>
      </c>
      <c r="L26" s="23">
        <v>3</v>
      </c>
      <c r="M26" s="23" t="s">
        <v>160</v>
      </c>
      <c r="N26" s="23">
        <v>0</v>
      </c>
      <c r="P26" s="23">
        <v>0</v>
      </c>
      <c r="S26" s="23"/>
    </row>
    <row r="27" spans="1:19">
      <c r="A27" s="23" t="s">
        <v>88</v>
      </c>
      <c r="B27" s="23" t="s">
        <v>82</v>
      </c>
      <c r="C27" s="23" t="s">
        <v>14</v>
      </c>
      <c r="D27" s="23" t="s">
        <v>167</v>
      </c>
      <c r="E27" s="23">
        <v>3</v>
      </c>
      <c r="F27" s="23" t="s">
        <v>52</v>
      </c>
      <c r="G27" s="23" t="s">
        <v>154</v>
      </c>
      <c r="H27" s="23">
        <v>2</v>
      </c>
      <c r="I27" s="23">
        <v>27</v>
      </c>
      <c r="J27" s="23">
        <v>5000</v>
      </c>
      <c r="K27" s="23">
        <v>8</v>
      </c>
      <c r="L27" s="23">
        <v>3</v>
      </c>
      <c r="M27" s="23" t="s">
        <v>161</v>
      </c>
      <c r="N27" s="23">
        <v>0</v>
      </c>
      <c r="P27" s="23">
        <v>0</v>
      </c>
      <c r="S27" s="23"/>
    </row>
    <row r="28" spans="1:19">
      <c r="A28" s="23" t="s">
        <v>88</v>
      </c>
      <c r="B28" s="23" t="s">
        <v>82</v>
      </c>
      <c r="C28" s="23" t="s">
        <v>14</v>
      </c>
      <c r="D28" s="23" t="s">
        <v>167</v>
      </c>
      <c r="E28" s="23">
        <v>3</v>
      </c>
      <c r="F28" s="23" t="s">
        <v>51</v>
      </c>
      <c r="G28" s="23" t="s">
        <v>155</v>
      </c>
      <c r="H28" s="23">
        <v>3</v>
      </c>
      <c r="I28" s="23">
        <v>27</v>
      </c>
      <c r="J28" s="23">
        <v>5000</v>
      </c>
      <c r="K28" s="23">
        <v>8</v>
      </c>
      <c r="L28" s="23">
        <v>3</v>
      </c>
      <c r="M28" s="23" t="s">
        <v>161</v>
      </c>
      <c r="N28" s="23">
        <v>0</v>
      </c>
      <c r="P28" s="23">
        <v>0</v>
      </c>
      <c r="S28" s="23"/>
    </row>
    <row r="29" spans="1:19">
      <c r="A29" s="23" t="s">
        <v>88</v>
      </c>
      <c r="B29" s="23" t="s">
        <v>82</v>
      </c>
      <c r="C29" s="23" t="s">
        <v>14</v>
      </c>
      <c r="D29" s="23" t="s">
        <v>167</v>
      </c>
      <c r="E29" s="23">
        <v>3</v>
      </c>
      <c r="F29" s="23" t="s">
        <v>51</v>
      </c>
      <c r="G29" s="23" t="s">
        <v>156</v>
      </c>
      <c r="H29" s="23">
        <v>4</v>
      </c>
      <c r="I29" s="23">
        <v>27</v>
      </c>
      <c r="J29" s="23">
        <v>5000</v>
      </c>
      <c r="K29" s="23">
        <v>8</v>
      </c>
      <c r="L29" s="23">
        <v>3</v>
      </c>
      <c r="M29" s="23" t="s">
        <v>160</v>
      </c>
      <c r="N29" s="23">
        <v>0</v>
      </c>
      <c r="P29" s="23">
        <v>0</v>
      </c>
      <c r="S29" s="23"/>
    </row>
    <row r="30" spans="1:19">
      <c r="A30" s="23" t="s">
        <v>88</v>
      </c>
      <c r="B30" s="23" t="s">
        <v>82</v>
      </c>
      <c r="C30" s="23" t="s">
        <v>14</v>
      </c>
      <c r="D30" s="23" t="s">
        <v>167</v>
      </c>
      <c r="E30" s="23">
        <v>3</v>
      </c>
      <c r="F30" s="23" t="s">
        <v>51</v>
      </c>
      <c r="G30" s="23" t="s">
        <v>157</v>
      </c>
      <c r="H30" s="23">
        <v>5</v>
      </c>
      <c r="I30" s="23">
        <v>27</v>
      </c>
      <c r="J30" s="23">
        <v>5000</v>
      </c>
      <c r="K30" s="23">
        <v>8</v>
      </c>
      <c r="L30" s="23">
        <v>3</v>
      </c>
      <c r="M30" s="23" t="s">
        <v>161</v>
      </c>
      <c r="N30" s="23">
        <v>0</v>
      </c>
      <c r="P30" s="23">
        <v>0</v>
      </c>
      <c r="S30" s="26"/>
    </row>
    <row r="31" spans="1:19">
      <c r="A31" s="23" t="s">
        <v>88</v>
      </c>
      <c r="B31" s="23" t="s">
        <v>82</v>
      </c>
      <c r="C31" s="23" t="s">
        <v>14</v>
      </c>
      <c r="D31" s="23" t="s">
        <v>167</v>
      </c>
      <c r="E31" s="23">
        <v>3</v>
      </c>
      <c r="F31" s="23" t="s">
        <v>51</v>
      </c>
      <c r="G31" s="23" t="s">
        <v>158</v>
      </c>
      <c r="H31" s="23">
        <v>6</v>
      </c>
      <c r="I31" s="23">
        <v>27</v>
      </c>
      <c r="J31" s="23">
        <v>5000</v>
      </c>
      <c r="K31" s="23">
        <v>8</v>
      </c>
      <c r="L31" s="23">
        <v>3</v>
      </c>
      <c r="M31" s="23" t="s">
        <v>160</v>
      </c>
      <c r="N31" s="23">
        <v>1</v>
      </c>
      <c r="O31" s="23" t="s">
        <v>190</v>
      </c>
      <c r="P31" s="23">
        <v>1</v>
      </c>
      <c r="R31" s="23">
        <v>0</v>
      </c>
      <c r="S31" s="26">
        <v>2.9959930424307428</v>
      </c>
    </row>
    <row r="32" spans="1:19">
      <c r="A32" s="23" t="s">
        <v>88</v>
      </c>
      <c r="B32" s="23" t="s">
        <v>82</v>
      </c>
      <c r="C32" s="23" t="s">
        <v>22</v>
      </c>
      <c r="D32" s="23" t="s">
        <v>167</v>
      </c>
      <c r="E32" s="23">
        <v>2</v>
      </c>
      <c r="F32" s="23" t="s">
        <v>58</v>
      </c>
      <c r="G32" s="23" t="s">
        <v>156</v>
      </c>
      <c r="H32" s="23">
        <v>1</v>
      </c>
      <c r="I32" s="23">
        <v>27</v>
      </c>
      <c r="J32" s="23">
        <v>5000</v>
      </c>
      <c r="K32" s="23">
        <v>8</v>
      </c>
      <c r="L32" s="23">
        <v>2</v>
      </c>
      <c r="M32" s="23" t="s">
        <v>161</v>
      </c>
      <c r="N32" s="23">
        <v>0</v>
      </c>
      <c r="P32" s="23">
        <v>0</v>
      </c>
      <c r="S32" s="23"/>
    </row>
    <row r="33" spans="1:19">
      <c r="A33" s="23" t="s">
        <v>88</v>
      </c>
      <c r="B33" s="23" t="s">
        <v>82</v>
      </c>
      <c r="C33" s="23" t="s">
        <v>22</v>
      </c>
      <c r="D33" s="23" t="s">
        <v>167</v>
      </c>
      <c r="E33" s="23">
        <v>2</v>
      </c>
      <c r="F33" s="23" t="s">
        <v>58</v>
      </c>
      <c r="G33" s="23" t="s">
        <v>157</v>
      </c>
      <c r="H33" s="23">
        <v>2</v>
      </c>
      <c r="I33" s="23">
        <v>27</v>
      </c>
      <c r="J33" s="23">
        <v>5000</v>
      </c>
      <c r="K33" s="23">
        <v>8</v>
      </c>
      <c r="L33" s="23">
        <v>2</v>
      </c>
      <c r="M33" s="23" t="s">
        <v>160</v>
      </c>
      <c r="N33" s="23">
        <v>0</v>
      </c>
      <c r="P33" s="23">
        <v>0</v>
      </c>
      <c r="S33" s="23"/>
    </row>
    <row r="34" spans="1:19">
      <c r="A34" s="23" t="s">
        <v>88</v>
      </c>
      <c r="B34" s="23" t="s">
        <v>82</v>
      </c>
      <c r="C34" s="23" t="s">
        <v>22</v>
      </c>
      <c r="D34" s="23" t="s">
        <v>167</v>
      </c>
      <c r="E34" s="23">
        <v>2</v>
      </c>
      <c r="F34" s="23" t="s">
        <v>58</v>
      </c>
      <c r="G34" s="23" t="s">
        <v>153</v>
      </c>
      <c r="H34" s="23">
        <v>3</v>
      </c>
      <c r="I34" s="23">
        <v>27</v>
      </c>
      <c r="J34" s="23">
        <v>5000</v>
      </c>
      <c r="K34" s="23">
        <v>8</v>
      </c>
      <c r="L34" s="23">
        <v>2</v>
      </c>
      <c r="M34" s="23" t="s">
        <v>161</v>
      </c>
      <c r="N34" s="23">
        <v>0</v>
      </c>
      <c r="P34" s="23">
        <v>0</v>
      </c>
      <c r="S34" s="23"/>
    </row>
    <row r="35" spans="1:19">
      <c r="A35" s="23" t="s">
        <v>88</v>
      </c>
      <c r="B35" s="23" t="s">
        <v>82</v>
      </c>
      <c r="C35" s="23" t="s">
        <v>22</v>
      </c>
      <c r="D35" s="23" t="s">
        <v>167</v>
      </c>
      <c r="E35" s="23">
        <v>2</v>
      </c>
      <c r="F35" s="23" t="s">
        <v>58</v>
      </c>
      <c r="G35" s="23" t="s">
        <v>158</v>
      </c>
      <c r="H35" s="23">
        <v>4</v>
      </c>
      <c r="I35" s="23">
        <v>27</v>
      </c>
      <c r="J35" s="23">
        <v>5000</v>
      </c>
      <c r="K35" s="23">
        <v>8</v>
      </c>
      <c r="L35" s="23">
        <v>2</v>
      </c>
      <c r="M35" s="23" t="s">
        <v>161</v>
      </c>
      <c r="N35" s="23">
        <v>0</v>
      </c>
      <c r="P35" s="23">
        <v>0</v>
      </c>
      <c r="S35" s="23"/>
    </row>
    <row r="36" spans="1:19">
      <c r="A36" s="23" t="s">
        <v>88</v>
      </c>
      <c r="B36" s="23" t="s">
        <v>82</v>
      </c>
      <c r="C36" s="23" t="s">
        <v>22</v>
      </c>
      <c r="D36" s="23" t="s">
        <v>167</v>
      </c>
      <c r="E36" s="23">
        <v>2</v>
      </c>
      <c r="F36" s="23" t="s">
        <v>58</v>
      </c>
      <c r="G36" s="23" t="s">
        <v>155</v>
      </c>
      <c r="H36" s="23">
        <v>5</v>
      </c>
      <c r="I36" s="23">
        <v>27</v>
      </c>
      <c r="J36" s="23">
        <v>5000</v>
      </c>
      <c r="K36" s="23">
        <v>8</v>
      </c>
      <c r="L36" s="23">
        <v>2</v>
      </c>
      <c r="M36" s="23" t="s">
        <v>160</v>
      </c>
      <c r="N36" s="23">
        <v>0</v>
      </c>
      <c r="P36" s="23">
        <v>0</v>
      </c>
      <c r="S36" s="26"/>
    </row>
    <row r="37" spans="1:19">
      <c r="A37" s="23" t="s">
        <v>88</v>
      </c>
      <c r="B37" s="23" t="s">
        <v>82</v>
      </c>
      <c r="C37" s="23" t="s">
        <v>22</v>
      </c>
      <c r="D37" s="23" t="s">
        <v>167</v>
      </c>
      <c r="E37" s="23">
        <v>2</v>
      </c>
      <c r="F37" s="23" t="s">
        <v>58</v>
      </c>
      <c r="G37" s="23" t="s">
        <v>154</v>
      </c>
      <c r="H37" s="23">
        <v>6</v>
      </c>
      <c r="I37" s="23">
        <v>27</v>
      </c>
      <c r="J37" s="23">
        <v>5000</v>
      </c>
      <c r="K37" s="23">
        <v>8</v>
      </c>
      <c r="L37" s="23">
        <v>2</v>
      </c>
      <c r="M37" s="23" t="s">
        <v>160</v>
      </c>
      <c r="N37" s="23">
        <v>1</v>
      </c>
      <c r="O37" s="23" t="s">
        <v>190</v>
      </c>
      <c r="P37" s="23">
        <v>1</v>
      </c>
      <c r="Q37" s="23" t="s">
        <v>190</v>
      </c>
      <c r="R37" s="23">
        <v>1</v>
      </c>
      <c r="S37" s="26">
        <v>2.0815686515173928</v>
      </c>
    </row>
    <row r="38" spans="1:19">
      <c r="A38" s="23" t="s">
        <v>19</v>
      </c>
      <c r="B38" s="23" t="s">
        <v>82</v>
      </c>
      <c r="C38" s="23" t="s">
        <v>21</v>
      </c>
      <c r="D38" s="23" t="s">
        <v>166</v>
      </c>
      <c r="E38" s="23">
        <v>1</v>
      </c>
      <c r="F38" s="23" t="s">
        <v>50</v>
      </c>
      <c r="G38" s="23" t="s">
        <v>147</v>
      </c>
      <c r="H38" s="23">
        <v>1</v>
      </c>
      <c r="I38" s="23">
        <v>40</v>
      </c>
      <c r="J38" s="23">
        <v>18000</v>
      </c>
      <c r="K38" s="23">
        <v>23</v>
      </c>
      <c r="L38" s="23">
        <v>1</v>
      </c>
      <c r="M38" s="23" t="s">
        <v>160</v>
      </c>
      <c r="N38" s="23">
        <v>0</v>
      </c>
      <c r="P38" s="23">
        <v>0</v>
      </c>
      <c r="S38" s="23"/>
    </row>
    <row r="39" spans="1:19">
      <c r="A39" s="23" t="s">
        <v>19</v>
      </c>
      <c r="B39" s="23" t="s">
        <v>82</v>
      </c>
      <c r="C39" s="23" t="s">
        <v>21</v>
      </c>
      <c r="D39" s="23" t="s">
        <v>166</v>
      </c>
      <c r="E39" s="23">
        <v>1</v>
      </c>
      <c r="F39" s="23" t="s">
        <v>50</v>
      </c>
      <c r="G39" s="23" t="s">
        <v>148</v>
      </c>
      <c r="H39" s="23">
        <v>2</v>
      </c>
      <c r="I39" s="23">
        <v>40</v>
      </c>
      <c r="J39" s="23">
        <v>18000</v>
      </c>
      <c r="K39" s="23">
        <v>23</v>
      </c>
      <c r="L39" s="23">
        <v>1</v>
      </c>
      <c r="M39" s="23" t="s">
        <v>161</v>
      </c>
      <c r="N39" s="23">
        <v>0</v>
      </c>
      <c r="P39" s="23">
        <v>0</v>
      </c>
      <c r="S39" s="23"/>
    </row>
    <row r="40" spans="1:19">
      <c r="A40" s="23" t="s">
        <v>86</v>
      </c>
      <c r="B40" s="23" t="s">
        <v>82</v>
      </c>
      <c r="C40" s="23" t="s">
        <v>21</v>
      </c>
      <c r="D40" s="23" t="s">
        <v>166</v>
      </c>
      <c r="E40" s="23">
        <v>1</v>
      </c>
      <c r="F40" s="23" t="s">
        <v>50</v>
      </c>
      <c r="G40" s="23" t="s">
        <v>149</v>
      </c>
      <c r="H40" s="23">
        <v>3</v>
      </c>
      <c r="I40" s="23">
        <v>40</v>
      </c>
      <c r="J40" s="23">
        <v>18000</v>
      </c>
      <c r="K40" s="23">
        <v>23</v>
      </c>
      <c r="L40" s="23">
        <v>1</v>
      </c>
      <c r="M40" s="23" t="s">
        <v>160</v>
      </c>
      <c r="N40" s="23">
        <v>0</v>
      </c>
      <c r="P40" s="23">
        <v>0</v>
      </c>
      <c r="S40" s="23"/>
    </row>
    <row r="41" spans="1:19">
      <c r="A41" s="23" t="s">
        <v>86</v>
      </c>
      <c r="B41" s="23" t="s">
        <v>82</v>
      </c>
      <c r="C41" s="23" t="s">
        <v>21</v>
      </c>
      <c r="D41" s="23" t="s">
        <v>166</v>
      </c>
      <c r="E41" s="23">
        <v>1</v>
      </c>
      <c r="F41" s="23" t="s">
        <v>50</v>
      </c>
      <c r="G41" s="23" t="s">
        <v>150</v>
      </c>
      <c r="H41" s="23">
        <v>4</v>
      </c>
      <c r="I41" s="23">
        <v>40</v>
      </c>
      <c r="J41" s="23">
        <v>18000</v>
      </c>
      <c r="K41" s="23">
        <v>23</v>
      </c>
      <c r="L41" s="23">
        <v>1</v>
      </c>
      <c r="M41" s="23" t="s">
        <v>161</v>
      </c>
      <c r="N41" s="23">
        <v>0</v>
      </c>
      <c r="P41" s="23">
        <v>0</v>
      </c>
      <c r="S41" s="23"/>
    </row>
    <row r="42" spans="1:19">
      <c r="A42" s="23" t="s">
        <v>86</v>
      </c>
      <c r="B42" s="23" t="s">
        <v>82</v>
      </c>
      <c r="C42" s="23" t="s">
        <v>21</v>
      </c>
      <c r="D42" s="23" t="s">
        <v>166</v>
      </c>
      <c r="E42" s="23">
        <v>1</v>
      </c>
      <c r="F42" s="23" t="s">
        <v>50</v>
      </c>
      <c r="G42" s="23" t="s">
        <v>151</v>
      </c>
      <c r="H42" s="23">
        <v>5</v>
      </c>
      <c r="I42" s="23">
        <v>40</v>
      </c>
      <c r="J42" s="23">
        <v>18000</v>
      </c>
      <c r="K42" s="23">
        <v>23</v>
      </c>
      <c r="L42" s="23">
        <v>1</v>
      </c>
      <c r="M42" s="23" t="s">
        <v>161</v>
      </c>
      <c r="N42" s="23">
        <v>0</v>
      </c>
      <c r="P42" s="23">
        <v>0</v>
      </c>
      <c r="S42" s="23"/>
    </row>
    <row r="43" spans="1:19">
      <c r="A43" s="23" t="s">
        <v>86</v>
      </c>
      <c r="B43" s="23" t="s">
        <v>82</v>
      </c>
      <c r="C43" s="23" t="s">
        <v>21</v>
      </c>
      <c r="D43" s="23" t="s">
        <v>166</v>
      </c>
      <c r="E43" s="23">
        <v>1</v>
      </c>
      <c r="F43" s="23" t="s">
        <v>50</v>
      </c>
      <c r="G43" s="23" t="s">
        <v>152</v>
      </c>
      <c r="H43" s="23">
        <v>6</v>
      </c>
      <c r="I43" s="23">
        <v>40</v>
      </c>
      <c r="J43" s="23">
        <v>18000</v>
      </c>
      <c r="K43" s="23">
        <v>23</v>
      </c>
      <c r="L43" s="23">
        <v>1</v>
      </c>
      <c r="M43" s="23" t="s">
        <v>160</v>
      </c>
      <c r="N43" s="23">
        <v>1</v>
      </c>
      <c r="O43" s="23" t="s">
        <v>190</v>
      </c>
      <c r="P43" s="23">
        <v>1</v>
      </c>
      <c r="Q43" s="23" t="s">
        <v>190</v>
      </c>
      <c r="R43" s="23">
        <v>0</v>
      </c>
      <c r="S43" s="23">
        <v>5.4015433097951799</v>
      </c>
    </row>
    <row r="44" spans="1:19">
      <c r="A44" s="23" t="s">
        <v>86</v>
      </c>
      <c r="B44" s="23" t="s">
        <v>82</v>
      </c>
      <c r="C44" s="23" t="s">
        <v>22</v>
      </c>
      <c r="D44" s="23" t="s">
        <v>166</v>
      </c>
      <c r="E44" s="23">
        <v>3</v>
      </c>
      <c r="F44" s="23" t="s">
        <v>52</v>
      </c>
      <c r="G44" s="23" t="s">
        <v>153</v>
      </c>
      <c r="H44" s="23">
        <v>1</v>
      </c>
      <c r="I44" s="23">
        <v>40</v>
      </c>
      <c r="J44" s="23">
        <v>18000</v>
      </c>
      <c r="K44" s="23">
        <v>23</v>
      </c>
      <c r="L44" s="23">
        <v>3</v>
      </c>
      <c r="M44" s="23" t="s">
        <v>160</v>
      </c>
      <c r="N44" s="23">
        <v>0</v>
      </c>
      <c r="P44" s="23">
        <v>0</v>
      </c>
      <c r="S44" s="23"/>
    </row>
    <row r="45" spans="1:19">
      <c r="A45" s="23" t="s">
        <v>86</v>
      </c>
      <c r="B45" s="23" t="s">
        <v>82</v>
      </c>
      <c r="C45" s="23" t="s">
        <v>22</v>
      </c>
      <c r="D45" s="23" t="s">
        <v>166</v>
      </c>
      <c r="E45" s="23">
        <v>3</v>
      </c>
      <c r="F45" s="23" t="s">
        <v>52</v>
      </c>
      <c r="G45" s="23" t="s">
        <v>154</v>
      </c>
      <c r="H45" s="23">
        <v>2</v>
      </c>
      <c r="I45" s="23">
        <v>40</v>
      </c>
      <c r="J45" s="23">
        <v>18000</v>
      </c>
      <c r="K45" s="23">
        <v>23</v>
      </c>
      <c r="L45" s="23">
        <v>3</v>
      </c>
      <c r="M45" s="23" t="s">
        <v>161</v>
      </c>
      <c r="N45" s="23">
        <v>0</v>
      </c>
      <c r="P45" s="23">
        <v>0</v>
      </c>
      <c r="S45" s="23"/>
    </row>
    <row r="46" spans="1:19" ht="17" customHeight="1">
      <c r="A46" s="23" t="s">
        <v>86</v>
      </c>
      <c r="B46" s="23" t="s">
        <v>82</v>
      </c>
      <c r="C46" s="23" t="s">
        <v>22</v>
      </c>
      <c r="D46" s="23" t="s">
        <v>166</v>
      </c>
      <c r="E46" s="23">
        <v>3</v>
      </c>
      <c r="F46" s="23" t="s">
        <v>51</v>
      </c>
      <c r="G46" s="23" t="s">
        <v>155</v>
      </c>
      <c r="H46" s="23">
        <v>3</v>
      </c>
      <c r="I46" s="23">
        <v>40</v>
      </c>
      <c r="J46" s="23">
        <v>18000</v>
      </c>
      <c r="K46" s="23">
        <v>23</v>
      </c>
      <c r="L46" s="23">
        <v>3</v>
      </c>
      <c r="M46" s="23" t="s">
        <v>161</v>
      </c>
      <c r="N46" s="23">
        <v>0</v>
      </c>
      <c r="P46" s="23">
        <v>0</v>
      </c>
      <c r="S46" s="23"/>
    </row>
    <row r="47" spans="1:19">
      <c r="A47" s="23" t="s">
        <v>86</v>
      </c>
      <c r="B47" s="23" t="s">
        <v>82</v>
      </c>
      <c r="C47" s="23" t="s">
        <v>22</v>
      </c>
      <c r="D47" s="23" t="s">
        <v>166</v>
      </c>
      <c r="E47" s="23">
        <v>3</v>
      </c>
      <c r="F47" s="23" t="s">
        <v>51</v>
      </c>
      <c r="G47" s="23" t="s">
        <v>156</v>
      </c>
      <c r="H47" s="23">
        <v>4</v>
      </c>
      <c r="I47" s="23">
        <v>40</v>
      </c>
      <c r="J47" s="23">
        <v>18000</v>
      </c>
      <c r="K47" s="23">
        <v>23</v>
      </c>
      <c r="L47" s="23">
        <v>3</v>
      </c>
      <c r="M47" s="23" t="s">
        <v>160</v>
      </c>
      <c r="N47" s="23">
        <v>0</v>
      </c>
      <c r="P47" s="23">
        <v>0</v>
      </c>
      <c r="S47" s="23"/>
    </row>
    <row r="48" spans="1:19">
      <c r="A48" s="23" t="s">
        <v>86</v>
      </c>
      <c r="B48" s="23" t="s">
        <v>82</v>
      </c>
      <c r="C48" s="23" t="s">
        <v>22</v>
      </c>
      <c r="D48" s="23" t="s">
        <v>166</v>
      </c>
      <c r="E48" s="23">
        <v>3</v>
      </c>
      <c r="F48" s="23" t="s">
        <v>51</v>
      </c>
      <c r="G48" s="23" t="s">
        <v>157</v>
      </c>
      <c r="H48" s="23">
        <v>5</v>
      </c>
      <c r="I48" s="23">
        <v>40</v>
      </c>
      <c r="J48" s="23">
        <v>18000</v>
      </c>
      <c r="K48" s="23">
        <v>23</v>
      </c>
      <c r="L48" s="23">
        <v>3</v>
      </c>
      <c r="M48" s="23" t="s">
        <v>161</v>
      </c>
      <c r="N48" s="23">
        <v>0</v>
      </c>
      <c r="P48" s="23">
        <v>0</v>
      </c>
      <c r="S48" s="26"/>
    </row>
    <row r="49" spans="1:19">
      <c r="A49" s="23" t="s">
        <v>86</v>
      </c>
      <c r="B49" s="23" t="s">
        <v>82</v>
      </c>
      <c r="C49" s="23" t="s">
        <v>22</v>
      </c>
      <c r="D49" s="23" t="s">
        <v>166</v>
      </c>
      <c r="E49" s="23">
        <v>3</v>
      </c>
      <c r="F49" s="23" t="s">
        <v>51</v>
      </c>
      <c r="G49" s="23" t="s">
        <v>158</v>
      </c>
      <c r="H49" s="23">
        <v>6</v>
      </c>
      <c r="I49" s="23">
        <v>40</v>
      </c>
      <c r="J49" s="23">
        <v>18000</v>
      </c>
      <c r="K49" s="23">
        <v>23</v>
      </c>
      <c r="L49" s="23">
        <v>3</v>
      </c>
      <c r="M49" s="23" t="s">
        <v>160</v>
      </c>
      <c r="N49" s="23">
        <v>0</v>
      </c>
      <c r="P49" s="23">
        <v>0</v>
      </c>
      <c r="R49" s="23">
        <v>1</v>
      </c>
      <c r="S49" s="26"/>
    </row>
    <row r="50" spans="1:19" ht="19" customHeight="1">
      <c r="A50" s="23" t="s">
        <v>86</v>
      </c>
      <c r="B50" s="23" t="s">
        <v>82</v>
      </c>
      <c r="C50" s="23" t="s">
        <v>14</v>
      </c>
      <c r="D50" s="23" t="s">
        <v>166</v>
      </c>
      <c r="E50" s="23">
        <v>2</v>
      </c>
      <c r="F50" s="23" t="s">
        <v>58</v>
      </c>
      <c r="G50" s="23" t="s">
        <v>156</v>
      </c>
      <c r="H50" s="23">
        <v>1</v>
      </c>
      <c r="I50" s="23">
        <v>40</v>
      </c>
      <c r="J50" s="23">
        <v>18000</v>
      </c>
      <c r="K50" s="23">
        <v>23</v>
      </c>
      <c r="L50" s="23">
        <v>2</v>
      </c>
      <c r="M50" s="23" t="s">
        <v>161</v>
      </c>
      <c r="N50" s="23">
        <v>0</v>
      </c>
      <c r="P50" s="23">
        <v>0</v>
      </c>
      <c r="S50" s="23"/>
    </row>
    <row r="51" spans="1:19" ht="19" customHeight="1">
      <c r="A51" s="23" t="s">
        <v>86</v>
      </c>
      <c r="B51" s="23" t="s">
        <v>82</v>
      </c>
      <c r="C51" s="23" t="s">
        <v>14</v>
      </c>
      <c r="D51" s="23" t="s">
        <v>166</v>
      </c>
      <c r="E51" s="23">
        <v>2</v>
      </c>
      <c r="F51" s="23" t="s">
        <v>58</v>
      </c>
      <c r="G51" s="23" t="s">
        <v>157</v>
      </c>
      <c r="H51" s="23">
        <v>2</v>
      </c>
      <c r="I51" s="23">
        <v>40</v>
      </c>
      <c r="J51" s="23">
        <v>18000</v>
      </c>
      <c r="K51" s="23">
        <v>23</v>
      </c>
      <c r="L51" s="23">
        <v>2</v>
      </c>
      <c r="M51" s="23" t="s">
        <v>160</v>
      </c>
      <c r="N51" s="23">
        <v>1</v>
      </c>
      <c r="O51" s="23" t="s">
        <v>190</v>
      </c>
      <c r="P51" s="23">
        <v>1</v>
      </c>
      <c r="S51" s="23"/>
    </row>
    <row r="52" spans="1:19" ht="19" customHeight="1">
      <c r="A52" s="23" t="s">
        <v>86</v>
      </c>
      <c r="B52" s="23" t="s">
        <v>82</v>
      </c>
      <c r="C52" s="23" t="s">
        <v>14</v>
      </c>
      <c r="D52" s="23" t="s">
        <v>166</v>
      </c>
      <c r="E52" s="23">
        <v>2</v>
      </c>
      <c r="F52" s="23" t="s">
        <v>58</v>
      </c>
      <c r="G52" s="23" t="s">
        <v>153</v>
      </c>
      <c r="H52" s="23">
        <v>3</v>
      </c>
      <c r="I52" s="23">
        <v>40</v>
      </c>
      <c r="J52" s="23">
        <v>18000</v>
      </c>
      <c r="K52" s="23">
        <v>23</v>
      </c>
      <c r="L52" s="23">
        <v>2</v>
      </c>
      <c r="M52" s="23" t="s">
        <v>161</v>
      </c>
      <c r="N52" s="23">
        <v>0</v>
      </c>
      <c r="P52" s="23">
        <v>0</v>
      </c>
      <c r="S52" s="23"/>
    </row>
    <row r="53" spans="1:19">
      <c r="A53" s="23" t="s">
        <v>86</v>
      </c>
      <c r="B53" s="23" t="s">
        <v>82</v>
      </c>
      <c r="C53" s="23" t="s">
        <v>14</v>
      </c>
      <c r="D53" s="23" t="s">
        <v>166</v>
      </c>
      <c r="E53" s="23">
        <v>2</v>
      </c>
      <c r="F53" s="23" t="s">
        <v>58</v>
      </c>
      <c r="G53" s="23" t="s">
        <v>158</v>
      </c>
      <c r="H53" s="23">
        <v>4</v>
      </c>
      <c r="I53" s="23">
        <v>40</v>
      </c>
      <c r="J53" s="23">
        <v>18000</v>
      </c>
      <c r="K53" s="23">
        <v>23</v>
      </c>
      <c r="L53" s="23">
        <v>2</v>
      </c>
      <c r="M53" s="23" t="s">
        <v>161</v>
      </c>
      <c r="N53" s="23">
        <v>0</v>
      </c>
      <c r="P53" s="23">
        <v>0</v>
      </c>
      <c r="S53" s="23"/>
    </row>
    <row r="54" spans="1:19">
      <c r="A54" s="23" t="s">
        <v>86</v>
      </c>
      <c r="B54" s="23" t="s">
        <v>82</v>
      </c>
      <c r="C54" s="23" t="s">
        <v>14</v>
      </c>
      <c r="D54" s="23" t="s">
        <v>166</v>
      </c>
      <c r="E54" s="23">
        <v>2</v>
      </c>
      <c r="F54" s="23" t="s">
        <v>58</v>
      </c>
      <c r="G54" s="23" t="s">
        <v>155</v>
      </c>
      <c r="H54" s="23">
        <v>5</v>
      </c>
      <c r="I54" s="23">
        <v>40</v>
      </c>
      <c r="J54" s="23">
        <v>18000</v>
      </c>
      <c r="K54" s="23">
        <v>23</v>
      </c>
      <c r="L54" s="23">
        <v>2</v>
      </c>
      <c r="M54" s="23" t="s">
        <v>160</v>
      </c>
      <c r="N54" s="23">
        <v>0</v>
      </c>
      <c r="P54" s="23">
        <v>0</v>
      </c>
      <c r="S54" s="26"/>
    </row>
    <row r="55" spans="1:19">
      <c r="A55" s="23" t="s">
        <v>86</v>
      </c>
      <c r="B55" s="23" t="s">
        <v>82</v>
      </c>
      <c r="C55" s="23" t="s">
        <v>14</v>
      </c>
      <c r="D55" s="23" t="s">
        <v>166</v>
      </c>
      <c r="E55" s="23">
        <v>2</v>
      </c>
      <c r="F55" s="23" t="s">
        <v>58</v>
      </c>
      <c r="G55" s="23" t="s">
        <v>154</v>
      </c>
      <c r="H55" s="23">
        <v>6</v>
      </c>
      <c r="I55" s="23">
        <v>40</v>
      </c>
      <c r="J55" s="23">
        <v>18000</v>
      </c>
      <c r="K55" s="23">
        <v>23</v>
      </c>
      <c r="L55" s="23">
        <v>2</v>
      </c>
      <c r="M55" s="23" t="s">
        <v>160</v>
      </c>
      <c r="N55" s="23">
        <v>1</v>
      </c>
      <c r="O55" s="23" t="s">
        <v>190</v>
      </c>
      <c r="P55" s="23">
        <v>1</v>
      </c>
      <c r="R55" s="23">
        <v>0</v>
      </c>
      <c r="S55" s="26">
        <v>2.1925930872079622</v>
      </c>
    </row>
    <row r="56" spans="1:19">
      <c r="A56" s="23" t="s">
        <v>18</v>
      </c>
      <c r="B56" s="23" t="s">
        <v>57</v>
      </c>
      <c r="C56" s="23" t="s">
        <v>22</v>
      </c>
      <c r="D56" s="23" t="s">
        <v>165</v>
      </c>
      <c r="E56" s="23">
        <v>1</v>
      </c>
      <c r="F56" s="23" t="s">
        <v>50</v>
      </c>
      <c r="G56" s="23" t="s">
        <v>147</v>
      </c>
      <c r="H56" s="23">
        <v>1</v>
      </c>
      <c r="I56" s="23">
        <v>47</v>
      </c>
      <c r="J56" s="23">
        <v>6000</v>
      </c>
      <c r="K56" s="23">
        <v>16</v>
      </c>
      <c r="L56" s="23">
        <v>1</v>
      </c>
      <c r="M56" s="23" t="s">
        <v>160</v>
      </c>
      <c r="N56" s="23">
        <v>0</v>
      </c>
      <c r="P56" s="23">
        <v>0</v>
      </c>
      <c r="S56" s="23"/>
    </row>
    <row r="57" spans="1:19">
      <c r="A57" s="23" t="s">
        <v>18</v>
      </c>
      <c r="B57" s="23" t="s">
        <v>57</v>
      </c>
      <c r="C57" s="23" t="s">
        <v>22</v>
      </c>
      <c r="D57" s="23" t="s">
        <v>165</v>
      </c>
      <c r="E57" s="23">
        <v>1</v>
      </c>
      <c r="F57" s="23" t="s">
        <v>50</v>
      </c>
      <c r="G57" s="23" t="s">
        <v>148</v>
      </c>
      <c r="H57" s="23">
        <v>2</v>
      </c>
      <c r="I57" s="23">
        <v>47</v>
      </c>
      <c r="J57" s="23">
        <v>6000</v>
      </c>
      <c r="K57" s="23">
        <v>16</v>
      </c>
      <c r="L57" s="23">
        <v>1</v>
      </c>
      <c r="M57" s="23" t="s">
        <v>161</v>
      </c>
      <c r="N57" s="23">
        <v>0</v>
      </c>
      <c r="P57" s="23">
        <v>0</v>
      </c>
      <c r="S57" s="23"/>
    </row>
    <row r="58" spans="1:19">
      <c r="A58" s="23" t="s">
        <v>85</v>
      </c>
      <c r="B58" s="23" t="s">
        <v>57</v>
      </c>
      <c r="C58" s="23" t="s">
        <v>22</v>
      </c>
      <c r="D58" s="23" t="s">
        <v>165</v>
      </c>
      <c r="E58" s="23">
        <v>1</v>
      </c>
      <c r="F58" s="23" t="s">
        <v>50</v>
      </c>
      <c r="G58" s="23" t="s">
        <v>149</v>
      </c>
      <c r="H58" s="23">
        <v>3</v>
      </c>
      <c r="I58" s="23">
        <v>47</v>
      </c>
      <c r="J58" s="23">
        <v>6000</v>
      </c>
      <c r="K58" s="23">
        <v>16</v>
      </c>
      <c r="L58" s="23">
        <v>1</v>
      </c>
      <c r="M58" s="23" t="s">
        <v>160</v>
      </c>
      <c r="N58" s="23">
        <v>0</v>
      </c>
      <c r="P58" s="23">
        <v>0</v>
      </c>
      <c r="S58" s="23"/>
    </row>
    <row r="59" spans="1:19">
      <c r="A59" s="23" t="s">
        <v>85</v>
      </c>
      <c r="B59" s="23" t="s">
        <v>57</v>
      </c>
      <c r="C59" s="23" t="s">
        <v>22</v>
      </c>
      <c r="D59" s="23" t="s">
        <v>165</v>
      </c>
      <c r="E59" s="23">
        <v>1</v>
      </c>
      <c r="F59" s="23" t="s">
        <v>50</v>
      </c>
      <c r="G59" s="23" t="s">
        <v>150</v>
      </c>
      <c r="H59" s="23">
        <v>4</v>
      </c>
      <c r="I59" s="23">
        <v>47</v>
      </c>
      <c r="J59" s="23">
        <v>6000</v>
      </c>
      <c r="K59" s="23">
        <v>16</v>
      </c>
      <c r="L59" s="23">
        <v>1</v>
      </c>
      <c r="M59" s="23" t="s">
        <v>161</v>
      </c>
      <c r="N59" s="23">
        <v>0</v>
      </c>
      <c r="P59" s="23">
        <v>0</v>
      </c>
      <c r="S59" s="23"/>
    </row>
    <row r="60" spans="1:19">
      <c r="A60" s="23" t="s">
        <v>85</v>
      </c>
      <c r="B60" s="23" t="s">
        <v>57</v>
      </c>
      <c r="C60" s="23" t="s">
        <v>22</v>
      </c>
      <c r="D60" s="23" t="s">
        <v>165</v>
      </c>
      <c r="E60" s="23">
        <v>1</v>
      </c>
      <c r="F60" s="23" t="s">
        <v>50</v>
      </c>
      <c r="G60" s="23" t="s">
        <v>151</v>
      </c>
      <c r="H60" s="23">
        <v>5</v>
      </c>
      <c r="I60" s="23">
        <v>47</v>
      </c>
      <c r="J60" s="23">
        <v>6000</v>
      </c>
      <c r="K60" s="23">
        <v>16</v>
      </c>
      <c r="L60" s="23">
        <v>1</v>
      </c>
      <c r="M60" s="23" t="s">
        <v>161</v>
      </c>
      <c r="N60" s="23">
        <v>0</v>
      </c>
      <c r="P60" s="23">
        <v>0</v>
      </c>
      <c r="S60" s="23"/>
    </row>
    <row r="61" spans="1:19">
      <c r="A61" s="23" t="s">
        <v>85</v>
      </c>
      <c r="B61" s="23" t="s">
        <v>57</v>
      </c>
      <c r="C61" s="23" t="s">
        <v>22</v>
      </c>
      <c r="D61" s="23" t="s">
        <v>165</v>
      </c>
      <c r="E61" s="23">
        <v>1</v>
      </c>
      <c r="F61" s="23" t="s">
        <v>50</v>
      </c>
      <c r="G61" s="23" t="s">
        <v>152</v>
      </c>
      <c r="H61" s="23">
        <v>6</v>
      </c>
      <c r="I61" s="23">
        <v>47</v>
      </c>
      <c r="J61" s="23">
        <v>6000</v>
      </c>
      <c r="K61" s="23">
        <v>16</v>
      </c>
      <c r="L61" s="23">
        <v>1</v>
      </c>
      <c r="M61" s="23" t="s">
        <v>160</v>
      </c>
      <c r="N61" s="23">
        <v>1</v>
      </c>
      <c r="O61" s="23" t="s">
        <v>190</v>
      </c>
      <c r="P61" s="23">
        <v>1</v>
      </c>
      <c r="Q61" s="23" t="s">
        <v>190</v>
      </c>
      <c r="R61" s="23">
        <v>0</v>
      </c>
      <c r="S61" s="23">
        <v>4.830702276384045</v>
      </c>
    </row>
    <row r="62" spans="1:19">
      <c r="A62" s="23" t="s">
        <v>85</v>
      </c>
      <c r="B62" s="23" t="s">
        <v>57</v>
      </c>
      <c r="C62" s="23" t="s">
        <v>14</v>
      </c>
      <c r="D62" s="23" t="s">
        <v>165</v>
      </c>
      <c r="E62" s="23">
        <v>3</v>
      </c>
      <c r="F62" s="23" t="s">
        <v>52</v>
      </c>
      <c r="G62" s="23" t="s">
        <v>153</v>
      </c>
      <c r="H62" s="23">
        <v>1</v>
      </c>
      <c r="I62" s="23">
        <v>47</v>
      </c>
      <c r="J62" s="23">
        <v>6000</v>
      </c>
      <c r="K62" s="23">
        <v>16</v>
      </c>
      <c r="L62" s="23">
        <v>3</v>
      </c>
      <c r="M62" s="23" t="s">
        <v>160</v>
      </c>
      <c r="N62" s="23">
        <v>0</v>
      </c>
      <c r="P62" s="23">
        <v>0</v>
      </c>
      <c r="S62" s="23"/>
    </row>
    <row r="63" spans="1:19">
      <c r="A63" s="23" t="s">
        <v>85</v>
      </c>
      <c r="B63" s="23" t="s">
        <v>57</v>
      </c>
      <c r="C63" s="23" t="s">
        <v>14</v>
      </c>
      <c r="D63" s="23" t="s">
        <v>165</v>
      </c>
      <c r="E63" s="23">
        <v>3</v>
      </c>
      <c r="F63" s="23" t="s">
        <v>52</v>
      </c>
      <c r="G63" s="23" t="s">
        <v>154</v>
      </c>
      <c r="H63" s="23">
        <v>2</v>
      </c>
      <c r="I63" s="23">
        <v>47</v>
      </c>
      <c r="J63" s="23">
        <v>6000</v>
      </c>
      <c r="K63" s="23">
        <v>16</v>
      </c>
      <c r="L63" s="23">
        <v>3</v>
      </c>
      <c r="M63" s="23" t="s">
        <v>161</v>
      </c>
      <c r="N63" s="23">
        <v>0</v>
      </c>
      <c r="P63" s="23">
        <v>0</v>
      </c>
      <c r="S63" s="23"/>
    </row>
    <row r="64" spans="1:19">
      <c r="A64" s="23" t="s">
        <v>85</v>
      </c>
      <c r="B64" s="23" t="s">
        <v>57</v>
      </c>
      <c r="C64" s="23" t="s">
        <v>14</v>
      </c>
      <c r="D64" s="23" t="s">
        <v>165</v>
      </c>
      <c r="E64" s="23">
        <v>3</v>
      </c>
      <c r="F64" s="23" t="s">
        <v>51</v>
      </c>
      <c r="G64" s="23" t="s">
        <v>155</v>
      </c>
      <c r="H64" s="23">
        <v>3</v>
      </c>
      <c r="I64" s="23">
        <v>47</v>
      </c>
      <c r="J64" s="23">
        <v>6000</v>
      </c>
      <c r="K64" s="23">
        <v>16</v>
      </c>
      <c r="L64" s="23">
        <v>3</v>
      </c>
      <c r="M64" s="23" t="s">
        <v>161</v>
      </c>
      <c r="N64" s="23">
        <v>0</v>
      </c>
      <c r="P64" s="23">
        <v>0</v>
      </c>
      <c r="S64" s="23"/>
    </row>
    <row r="65" spans="1:19">
      <c r="A65" s="23" t="s">
        <v>85</v>
      </c>
      <c r="B65" s="23" t="s">
        <v>57</v>
      </c>
      <c r="C65" s="23" t="s">
        <v>14</v>
      </c>
      <c r="D65" s="23" t="s">
        <v>165</v>
      </c>
      <c r="E65" s="23">
        <v>3</v>
      </c>
      <c r="F65" s="23" t="s">
        <v>51</v>
      </c>
      <c r="G65" s="23" t="s">
        <v>156</v>
      </c>
      <c r="H65" s="23">
        <v>4</v>
      </c>
      <c r="I65" s="23">
        <v>47</v>
      </c>
      <c r="J65" s="23">
        <v>6000</v>
      </c>
      <c r="K65" s="23">
        <v>16</v>
      </c>
      <c r="L65" s="23">
        <v>3</v>
      </c>
      <c r="M65" s="23" t="s">
        <v>160</v>
      </c>
      <c r="N65" s="23">
        <v>0</v>
      </c>
      <c r="P65" s="23">
        <v>0</v>
      </c>
      <c r="S65" s="23"/>
    </row>
    <row r="66" spans="1:19">
      <c r="A66" s="23" t="s">
        <v>85</v>
      </c>
      <c r="B66" s="23" t="s">
        <v>57</v>
      </c>
      <c r="C66" s="23" t="s">
        <v>14</v>
      </c>
      <c r="D66" s="23" t="s">
        <v>165</v>
      </c>
      <c r="E66" s="23">
        <v>3</v>
      </c>
      <c r="F66" s="23" t="s">
        <v>51</v>
      </c>
      <c r="G66" s="23" t="s">
        <v>157</v>
      </c>
      <c r="H66" s="23">
        <v>5</v>
      </c>
      <c r="I66" s="23">
        <v>47</v>
      </c>
      <c r="J66" s="23">
        <v>6000</v>
      </c>
      <c r="K66" s="23">
        <v>16</v>
      </c>
      <c r="L66" s="23">
        <v>3</v>
      </c>
      <c r="M66" s="23" t="s">
        <v>161</v>
      </c>
      <c r="N66" s="23">
        <v>0</v>
      </c>
      <c r="P66" s="23">
        <v>0</v>
      </c>
      <c r="S66" s="26"/>
    </row>
    <row r="67" spans="1:19">
      <c r="A67" s="23" t="s">
        <v>85</v>
      </c>
      <c r="B67" s="23" t="s">
        <v>57</v>
      </c>
      <c r="C67" s="23" t="s">
        <v>14</v>
      </c>
      <c r="D67" s="23" t="s">
        <v>165</v>
      </c>
      <c r="E67" s="23">
        <v>3</v>
      </c>
      <c r="F67" s="23" t="s">
        <v>51</v>
      </c>
      <c r="G67" s="23" t="s">
        <v>158</v>
      </c>
      <c r="H67" s="23">
        <v>6</v>
      </c>
      <c r="I67" s="23">
        <v>47</v>
      </c>
      <c r="J67" s="23">
        <v>6000</v>
      </c>
      <c r="K67" s="23">
        <v>16</v>
      </c>
      <c r="L67" s="23">
        <v>3</v>
      </c>
      <c r="M67" s="23" t="s">
        <v>160</v>
      </c>
      <c r="N67" s="23">
        <v>1</v>
      </c>
      <c r="O67" s="23" t="s">
        <v>190</v>
      </c>
      <c r="P67" s="23">
        <v>1</v>
      </c>
      <c r="R67" s="23">
        <v>0</v>
      </c>
      <c r="S67" s="26">
        <v>4.817494645167729</v>
      </c>
    </row>
    <row r="68" spans="1:19">
      <c r="A68" s="23" t="s">
        <v>85</v>
      </c>
      <c r="B68" s="23" t="s">
        <v>57</v>
      </c>
      <c r="C68" s="23" t="s">
        <v>21</v>
      </c>
      <c r="D68" s="23" t="s">
        <v>165</v>
      </c>
      <c r="E68" s="23">
        <v>2</v>
      </c>
      <c r="F68" s="23" t="s">
        <v>58</v>
      </c>
      <c r="G68" s="23" t="s">
        <v>156</v>
      </c>
      <c r="H68" s="23">
        <v>1</v>
      </c>
      <c r="I68" s="23">
        <v>47</v>
      </c>
      <c r="J68" s="23">
        <v>6000</v>
      </c>
      <c r="K68" s="23">
        <v>16</v>
      </c>
      <c r="L68" s="23">
        <v>2</v>
      </c>
      <c r="M68" s="23" t="s">
        <v>161</v>
      </c>
      <c r="N68" s="23">
        <v>0</v>
      </c>
      <c r="P68" s="23">
        <v>0</v>
      </c>
      <c r="S68" s="23"/>
    </row>
    <row r="69" spans="1:19">
      <c r="A69" s="23" t="s">
        <v>85</v>
      </c>
      <c r="B69" s="23" t="s">
        <v>57</v>
      </c>
      <c r="C69" s="23" t="s">
        <v>21</v>
      </c>
      <c r="D69" s="23" t="s">
        <v>165</v>
      </c>
      <c r="E69" s="23">
        <v>2</v>
      </c>
      <c r="F69" s="23" t="s">
        <v>58</v>
      </c>
      <c r="G69" s="23" t="s">
        <v>157</v>
      </c>
      <c r="H69" s="23">
        <v>2</v>
      </c>
      <c r="I69" s="23">
        <v>47</v>
      </c>
      <c r="J69" s="23">
        <v>6000</v>
      </c>
      <c r="K69" s="23">
        <v>16</v>
      </c>
      <c r="L69" s="23">
        <v>2</v>
      </c>
      <c r="M69" s="23" t="s">
        <v>160</v>
      </c>
      <c r="N69" s="23">
        <v>0</v>
      </c>
      <c r="P69" s="23">
        <v>0</v>
      </c>
      <c r="S69" s="23"/>
    </row>
    <row r="70" spans="1:19">
      <c r="A70" s="23" t="s">
        <v>85</v>
      </c>
      <c r="B70" s="23" t="s">
        <v>57</v>
      </c>
      <c r="C70" s="23" t="s">
        <v>21</v>
      </c>
      <c r="D70" s="23" t="s">
        <v>165</v>
      </c>
      <c r="E70" s="23">
        <v>2</v>
      </c>
      <c r="F70" s="23" t="s">
        <v>58</v>
      </c>
      <c r="G70" s="23" t="s">
        <v>153</v>
      </c>
      <c r="H70" s="23">
        <v>3</v>
      </c>
      <c r="I70" s="23">
        <v>47</v>
      </c>
      <c r="J70" s="23">
        <v>6000</v>
      </c>
      <c r="K70" s="23">
        <v>16</v>
      </c>
      <c r="L70" s="23">
        <v>2</v>
      </c>
      <c r="M70" s="23" t="s">
        <v>161</v>
      </c>
      <c r="N70" s="23">
        <v>0</v>
      </c>
      <c r="P70" s="23">
        <v>0</v>
      </c>
      <c r="S70" s="23"/>
    </row>
    <row r="71" spans="1:19">
      <c r="A71" s="23" t="s">
        <v>85</v>
      </c>
      <c r="B71" s="23" t="s">
        <v>57</v>
      </c>
      <c r="C71" s="23" t="s">
        <v>21</v>
      </c>
      <c r="D71" s="23" t="s">
        <v>165</v>
      </c>
      <c r="E71" s="23">
        <v>2</v>
      </c>
      <c r="F71" s="23" t="s">
        <v>58</v>
      </c>
      <c r="G71" s="23" t="s">
        <v>158</v>
      </c>
      <c r="H71" s="23">
        <v>4</v>
      </c>
      <c r="I71" s="23">
        <v>47</v>
      </c>
      <c r="J71" s="23">
        <v>6000</v>
      </c>
      <c r="K71" s="23">
        <v>16</v>
      </c>
      <c r="L71" s="23">
        <v>2</v>
      </c>
      <c r="M71" s="23" t="s">
        <v>161</v>
      </c>
      <c r="N71" s="23">
        <v>0</v>
      </c>
      <c r="P71" s="23">
        <v>0</v>
      </c>
      <c r="S71" s="23"/>
    </row>
    <row r="72" spans="1:19">
      <c r="A72" s="23" t="s">
        <v>85</v>
      </c>
      <c r="B72" s="23" t="s">
        <v>57</v>
      </c>
      <c r="C72" s="23" t="s">
        <v>21</v>
      </c>
      <c r="D72" s="23" t="s">
        <v>165</v>
      </c>
      <c r="E72" s="23">
        <v>2</v>
      </c>
      <c r="F72" s="23" t="s">
        <v>58</v>
      </c>
      <c r="G72" s="23" t="s">
        <v>155</v>
      </c>
      <c r="H72" s="23">
        <v>5</v>
      </c>
      <c r="I72" s="23">
        <v>47</v>
      </c>
      <c r="J72" s="23">
        <v>6000</v>
      </c>
      <c r="K72" s="23">
        <v>16</v>
      </c>
      <c r="L72" s="23">
        <v>2</v>
      </c>
      <c r="M72" s="23" t="s">
        <v>160</v>
      </c>
      <c r="N72" s="23">
        <v>1</v>
      </c>
      <c r="O72" s="23" t="s">
        <v>192</v>
      </c>
      <c r="P72" s="23">
        <v>1</v>
      </c>
      <c r="Q72" s="23" t="s">
        <v>193</v>
      </c>
      <c r="S72" s="26"/>
    </row>
    <row r="73" spans="1:19">
      <c r="A73" s="23" t="s">
        <v>85</v>
      </c>
      <c r="B73" s="23" t="s">
        <v>57</v>
      </c>
      <c r="C73" s="23" t="s">
        <v>21</v>
      </c>
      <c r="D73" s="23" t="s">
        <v>165</v>
      </c>
      <c r="E73" s="23">
        <v>2</v>
      </c>
      <c r="F73" s="23" t="s">
        <v>58</v>
      </c>
      <c r="G73" s="23" t="s">
        <v>154</v>
      </c>
      <c r="H73" s="23">
        <v>6</v>
      </c>
      <c r="I73" s="23">
        <v>47</v>
      </c>
      <c r="J73" s="23">
        <v>6000</v>
      </c>
      <c r="K73" s="23">
        <v>16</v>
      </c>
      <c r="L73" s="23">
        <v>2</v>
      </c>
      <c r="M73" s="23" t="s">
        <v>160</v>
      </c>
      <c r="N73" s="23">
        <v>1</v>
      </c>
      <c r="O73" s="23" t="s">
        <v>192</v>
      </c>
      <c r="P73" s="23">
        <v>1</v>
      </c>
      <c r="Q73" s="23" t="s">
        <v>193</v>
      </c>
      <c r="R73" s="23">
        <v>0</v>
      </c>
      <c r="S73" s="26">
        <v>8.4772961867911114</v>
      </c>
    </row>
    <row r="74" spans="1:19">
      <c r="A74" s="23" t="s">
        <v>25</v>
      </c>
      <c r="B74" s="23" t="s">
        <v>82</v>
      </c>
      <c r="C74" s="23" t="s">
        <v>14</v>
      </c>
      <c r="D74" s="23" t="s">
        <v>171</v>
      </c>
      <c r="E74" s="23">
        <v>1</v>
      </c>
      <c r="F74" s="23" t="s">
        <v>50</v>
      </c>
      <c r="G74" s="23" t="s">
        <v>147</v>
      </c>
      <c r="H74" s="23">
        <v>1</v>
      </c>
      <c r="I74" s="23">
        <v>51</v>
      </c>
      <c r="J74" s="23">
        <v>15000</v>
      </c>
      <c r="K74" s="23">
        <v>33</v>
      </c>
      <c r="L74" s="23">
        <v>1</v>
      </c>
      <c r="M74" s="23" t="s">
        <v>160</v>
      </c>
      <c r="N74" s="23">
        <v>0</v>
      </c>
      <c r="P74" s="23">
        <v>0</v>
      </c>
      <c r="S74" s="23"/>
    </row>
    <row r="75" spans="1:19">
      <c r="A75" s="23" t="s">
        <v>25</v>
      </c>
      <c r="B75" s="23" t="s">
        <v>82</v>
      </c>
      <c r="C75" s="23" t="s">
        <v>14</v>
      </c>
      <c r="D75" s="23" t="s">
        <v>171</v>
      </c>
      <c r="E75" s="23">
        <v>1</v>
      </c>
      <c r="F75" s="23" t="s">
        <v>50</v>
      </c>
      <c r="G75" s="23" t="s">
        <v>148</v>
      </c>
      <c r="H75" s="23">
        <v>2</v>
      </c>
      <c r="I75" s="23">
        <v>51</v>
      </c>
      <c r="J75" s="23">
        <v>15000</v>
      </c>
      <c r="K75" s="23">
        <v>33</v>
      </c>
      <c r="L75" s="23">
        <v>1</v>
      </c>
      <c r="M75" s="23" t="s">
        <v>161</v>
      </c>
      <c r="N75" s="23">
        <v>0</v>
      </c>
      <c r="P75" s="23">
        <v>0</v>
      </c>
      <c r="S75" s="23"/>
    </row>
    <row r="76" spans="1:19">
      <c r="A76" s="23" t="s">
        <v>89</v>
      </c>
      <c r="B76" s="23" t="s">
        <v>82</v>
      </c>
      <c r="C76" s="23" t="s">
        <v>14</v>
      </c>
      <c r="D76" s="23" t="s">
        <v>168</v>
      </c>
      <c r="E76" s="23">
        <v>1</v>
      </c>
      <c r="F76" s="23" t="s">
        <v>50</v>
      </c>
      <c r="G76" s="23" t="s">
        <v>149</v>
      </c>
      <c r="H76" s="23">
        <v>3</v>
      </c>
      <c r="I76" s="23">
        <v>51</v>
      </c>
      <c r="J76" s="23">
        <v>15000</v>
      </c>
      <c r="K76" s="23">
        <v>33</v>
      </c>
      <c r="L76" s="23">
        <v>1</v>
      </c>
      <c r="M76" s="23" t="s">
        <v>160</v>
      </c>
      <c r="N76" s="23">
        <v>0</v>
      </c>
      <c r="P76" s="23">
        <v>0</v>
      </c>
      <c r="S76" s="23"/>
    </row>
    <row r="77" spans="1:19">
      <c r="A77" s="23" t="s">
        <v>89</v>
      </c>
      <c r="B77" s="23" t="s">
        <v>82</v>
      </c>
      <c r="C77" s="23" t="s">
        <v>14</v>
      </c>
      <c r="D77" s="23" t="s">
        <v>168</v>
      </c>
      <c r="E77" s="23">
        <v>1</v>
      </c>
      <c r="F77" s="23" t="s">
        <v>50</v>
      </c>
      <c r="G77" s="23" t="s">
        <v>150</v>
      </c>
      <c r="H77" s="23">
        <v>4</v>
      </c>
      <c r="I77" s="23">
        <v>51</v>
      </c>
      <c r="J77" s="23">
        <v>15000</v>
      </c>
      <c r="K77" s="23">
        <v>33</v>
      </c>
      <c r="L77" s="23">
        <v>1</v>
      </c>
      <c r="M77" s="23" t="s">
        <v>161</v>
      </c>
      <c r="N77" s="23">
        <v>0</v>
      </c>
      <c r="P77" s="23">
        <v>0</v>
      </c>
      <c r="S77" s="23"/>
    </row>
    <row r="78" spans="1:19">
      <c r="A78" s="23" t="s">
        <v>89</v>
      </c>
      <c r="B78" s="23" t="s">
        <v>82</v>
      </c>
      <c r="C78" s="23" t="s">
        <v>14</v>
      </c>
      <c r="D78" s="23" t="s">
        <v>168</v>
      </c>
      <c r="E78" s="23">
        <v>1</v>
      </c>
      <c r="F78" s="23" t="s">
        <v>50</v>
      </c>
      <c r="G78" s="23" t="s">
        <v>151</v>
      </c>
      <c r="H78" s="23">
        <v>5</v>
      </c>
      <c r="I78" s="23">
        <v>51</v>
      </c>
      <c r="J78" s="23">
        <v>15000</v>
      </c>
      <c r="K78" s="23">
        <v>33</v>
      </c>
      <c r="L78" s="23">
        <v>1</v>
      </c>
      <c r="M78" s="23" t="s">
        <v>161</v>
      </c>
      <c r="N78" s="23">
        <v>0</v>
      </c>
      <c r="P78" s="23">
        <v>0</v>
      </c>
      <c r="S78" s="23"/>
    </row>
    <row r="79" spans="1:19">
      <c r="A79" s="23" t="s">
        <v>89</v>
      </c>
      <c r="B79" s="23" t="s">
        <v>82</v>
      </c>
      <c r="C79" s="23" t="s">
        <v>14</v>
      </c>
      <c r="D79" s="23" t="s">
        <v>168</v>
      </c>
      <c r="E79" s="23">
        <v>1</v>
      </c>
      <c r="F79" s="23" t="s">
        <v>50</v>
      </c>
      <c r="G79" s="23" t="s">
        <v>152</v>
      </c>
      <c r="H79" s="23">
        <v>6</v>
      </c>
      <c r="I79" s="23">
        <v>51</v>
      </c>
      <c r="J79" s="23">
        <v>15000</v>
      </c>
      <c r="K79" s="23">
        <v>33</v>
      </c>
      <c r="L79" s="23">
        <v>1</v>
      </c>
      <c r="M79" s="23" t="s">
        <v>160</v>
      </c>
      <c r="N79" s="23">
        <v>1</v>
      </c>
      <c r="O79" s="23" t="s">
        <v>190</v>
      </c>
      <c r="P79" s="23">
        <v>1</v>
      </c>
      <c r="R79" s="23">
        <v>0</v>
      </c>
      <c r="S79" s="23">
        <v>2.0870292996014781</v>
      </c>
    </row>
    <row r="80" spans="1:19">
      <c r="A80" s="23" t="s">
        <v>89</v>
      </c>
      <c r="B80" s="23" t="s">
        <v>82</v>
      </c>
      <c r="C80" s="23" t="s">
        <v>22</v>
      </c>
      <c r="D80" s="23" t="s">
        <v>168</v>
      </c>
      <c r="E80" s="23">
        <v>3</v>
      </c>
      <c r="F80" s="23" t="s">
        <v>52</v>
      </c>
      <c r="G80" s="23" t="s">
        <v>153</v>
      </c>
      <c r="H80" s="23">
        <v>1</v>
      </c>
      <c r="I80" s="23">
        <v>51</v>
      </c>
      <c r="J80" s="23">
        <v>15000</v>
      </c>
      <c r="K80" s="23">
        <v>33</v>
      </c>
      <c r="L80" s="23">
        <v>3</v>
      </c>
      <c r="M80" s="23" t="s">
        <v>160</v>
      </c>
      <c r="N80" s="23">
        <v>0</v>
      </c>
      <c r="P80" s="23">
        <v>0</v>
      </c>
      <c r="S80" s="23"/>
    </row>
    <row r="81" spans="1:19">
      <c r="A81" s="23" t="s">
        <v>89</v>
      </c>
      <c r="B81" s="23" t="s">
        <v>82</v>
      </c>
      <c r="C81" s="23" t="s">
        <v>22</v>
      </c>
      <c r="D81" s="23" t="s">
        <v>168</v>
      </c>
      <c r="E81" s="23">
        <v>3</v>
      </c>
      <c r="F81" s="23" t="s">
        <v>52</v>
      </c>
      <c r="G81" s="23" t="s">
        <v>154</v>
      </c>
      <c r="H81" s="23">
        <v>2</v>
      </c>
      <c r="I81" s="23">
        <v>51</v>
      </c>
      <c r="J81" s="23">
        <v>15000</v>
      </c>
      <c r="K81" s="23">
        <v>33</v>
      </c>
      <c r="L81" s="23">
        <v>3</v>
      </c>
      <c r="M81" s="23" t="s">
        <v>161</v>
      </c>
      <c r="N81" s="23">
        <v>0</v>
      </c>
      <c r="P81" s="23">
        <v>0</v>
      </c>
      <c r="S81" s="23"/>
    </row>
    <row r="82" spans="1:19">
      <c r="A82" s="23" t="s">
        <v>89</v>
      </c>
      <c r="B82" s="23" t="s">
        <v>82</v>
      </c>
      <c r="C82" s="23" t="s">
        <v>22</v>
      </c>
      <c r="D82" s="23" t="s">
        <v>168</v>
      </c>
      <c r="E82" s="23">
        <v>3</v>
      </c>
      <c r="F82" s="23" t="s">
        <v>51</v>
      </c>
      <c r="G82" s="23" t="s">
        <v>155</v>
      </c>
      <c r="H82" s="23">
        <v>3</v>
      </c>
      <c r="I82" s="23">
        <v>51</v>
      </c>
      <c r="J82" s="23">
        <v>15000</v>
      </c>
      <c r="K82" s="23">
        <v>33</v>
      </c>
      <c r="L82" s="23">
        <v>3</v>
      </c>
      <c r="M82" s="23" t="s">
        <v>161</v>
      </c>
      <c r="N82" s="23">
        <v>0</v>
      </c>
      <c r="P82" s="23">
        <v>0</v>
      </c>
      <c r="S82" s="23"/>
    </row>
    <row r="83" spans="1:19">
      <c r="A83" s="23" t="s">
        <v>89</v>
      </c>
      <c r="B83" s="23" t="s">
        <v>82</v>
      </c>
      <c r="C83" s="23" t="s">
        <v>22</v>
      </c>
      <c r="D83" s="23" t="s">
        <v>168</v>
      </c>
      <c r="E83" s="23">
        <v>3</v>
      </c>
      <c r="F83" s="23" t="s">
        <v>51</v>
      </c>
      <c r="G83" s="23" t="s">
        <v>156</v>
      </c>
      <c r="H83" s="23">
        <v>4</v>
      </c>
      <c r="I83" s="23">
        <v>51</v>
      </c>
      <c r="J83" s="23">
        <v>15000</v>
      </c>
      <c r="K83" s="23">
        <v>33</v>
      </c>
      <c r="L83" s="23">
        <v>3</v>
      </c>
      <c r="M83" s="23" t="s">
        <v>160</v>
      </c>
      <c r="N83" s="23">
        <v>0</v>
      </c>
      <c r="P83" s="23">
        <v>0</v>
      </c>
      <c r="S83" s="23"/>
    </row>
    <row r="84" spans="1:19">
      <c r="A84" s="23" t="s">
        <v>89</v>
      </c>
      <c r="B84" s="23" t="s">
        <v>82</v>
      </c>
      <c r="C84" s="23" t="s">
        <v>22</v>
      </c>
      <c r="D84" s="23" t="s">
        <v>168</v>
      </c>
      <c r="E84" s="23">
        <v>3</v>
      </c>
      <c r="F84" s="23" t="s">
        <v>51</v>
      </c>
      <c r="G84" s="23" t="s">
        <v>157</v>
      </c>
      <c r="H84" s="23">
        <v>5</v>
      </c>
      <c r="I84" s="23">
        <v>51</v>
      </c>
      <c r="J84" s="23">
        <v>15000</v>
      </c>
      <c r="K84" s="23">
        <v>33</v>
      </c>
      <c r="L84" s="23">
        <v>3</v>
      </c>
      <c r="M84" s="23" t="s">
        <v>161</v>
      </c>
      <c r="N84" s="23">
        <v>0</v>
      </c>
      <c r="P84" s="23">
        <v>0</v>
      </c>
      <c r="S84" s="26"/>
    </row>
    <row r="85" spans="1:19">
      <c r="A85" s="23" t="s">
        <v>89</v>
      </c>
      <c r="B85" s="23" t="s">
        <v>82</v>
      </c>
      <c r="C85" s="23" t="s">
        <v>22</v>
      </c>
      <c r="D85" s="23" t="s">
        <v>168</v>
      </c>
      <c r="E85" s="23">
        <v>3</v>
      </c>
      <c r="F85" s="23" t="s">
        <v>51</v>
      </c>
      <c r="G85" s="23" t="s">
        <v>158</v>
      </c>
      <c r="H85" s="23">
        <v>6</v>
      </c>
      <c r="I85" s="23">
        <v>51</v>
      </c>
      <c r="J85" s="23">
        <v>15000</v>
      </c>
      <c r="K85" s="23">
        <v>33</v>
      </c>
      <c r="L85" s="23">
        <v>3</v>
      </c>
      <c r="M85" s="23" t="s">
        <v>160</v>
      </c>
      <c r="N85" s="23">
        <v>1</v>
      </c>
      <c r="O85" s="23" t="s">
        <v>190</v>
      </c>
      <c r="P85" s="23">
        <v>1</v>
      </c>
      <c r="Q85" s="23" t="s">
        <v>190</v>
      </c>
      <c r="R85" s="23">
        <v>0</v>
      </c>
      <c r="S85" s="26">
        <v>5.3946294549270482</v>
      </c>
    </row>
    <row r="86" spans="1:19">
      <c r="A86" s="23" t="s">
        <v>89</v>
      </c>
      <c r="B86" s="23" t="s">
        <v>82</v>
      </c>
      <c r="C86" s="23" t="s">
        <v>21</v>
      </c>
      <c r="D86" s="23" t="s">
        <v>168</v>
      </c>
      <c r="E86" s="23">
        <v>2</v>
      </c>
      <c r="F86" s="23" t="s">
        <v>58</v>
      </c>
      <c r="G86" s="23" t="s">
        <v>156</v>
      </c>
      <c r="H86" s="23">
        <v>1</v>
      </c>
      <c r="I86" s="23">
        <v>51</v>
      </c>
      <c r="J86" s="23">
        <v>15000</v>
      </c>
      <c r="K86" s="23">
        <v>33</v>
      </c>
      <c r="L86" s="23">
        <v>2</v>
      </c>
      <c r="M86" s="23" t="s">
        <v>161</v>
      </c>
      <c r="N86" s="23">
        <v>0</v>
      </c>
      <c r="P86" s="23">
        <v>0</v>
      </c>
      <c r="S86" s="23"/>
    </row>
    <row r="87" spans="1:19">
      <c r="A87" s="23" t="s">
        <v>89</v>
      </c>
      <c r="B87" s="23" t="s">
        <v>82</v>
      </c>
      <c r="C87" s="23" t="s">
        <v>21</v>
      </c>
      <c r="D87" s="23" t="s">
        <v>168</v>
      </c>
      <c r="E87" s="23">
        <v>2</v>
      </c>
      <c r="F87" s="23" t="s">
        <v>58</v>
      </c>
      <c r="G87" s="23" t="s">
        <v>157</v>
      </c>
      <c r="H87" s="23">
        <v>2</v>
      </c>
      <c r="I87" s="23">
        <v>51</v>
      </c>
      <c r="J87" s="23">
        <v>15000</v>
      </c>
      <c r="K87" s="23">
        <v>33</v>
      </c>
      <c r="L87" s="23">
        <v>2</v>
      </c>
      <c r="M87" s="23" t="s">
        <v>160</v>
      </c>
      <c r="N87" s="23">
        <v>0</v>
      </c>
      <c r="P87" s="23">
        <v>0</v>
      </c>
      <c r="S87" s="23"/>
    </row>
    <row r="88" spans="1:19">
      <c r="A88" s="23" t="s">
        <v>89</v>
      </c>
      <c r="B88" s="23" t="s">
        <v>82</v>
      </c>
      <c r="C88" s="23" t="s">
        <v>21</v>
      </c>
      <c r="D88" s="23" t="s">
        <v>168</v>
      </c>
      <c r="E88" s="23">
        <v>2</v>
      </c>
      <c r="F88" s="23" t="s">
        <v>58</v>
      </c>
      <c r="G88" s="23" t="s">
        <v>153</v>
      </c>
      <c r="H88" s="23">
        <v>3</v>
      </c>
      <c r="I88" s="23">
        <v>51</v>
      </c>
      <c r="J88" s="23">
        <v>15000</v>
      </c>
      <c r="K88" s="23">
        <v>33</v>
      </c>
      <c r="L88" s="23">
        <v>2</v>
      </c>
      <c r="M88" s="23" t="s">
        <v>161</v>
      </c>
      <c r="N88" s="23">
        <v>0</v>
      </c>
      <c r="P88" s="23">
        <v>0</v>
      </c>
      <c r="S88" s="23"/>
    </row>
    <row r="89" spans="1:19">
      <c r="A89" s="23" t="s">
        <v>89</v>
      </c>
      <c r="B89" s="23" t="s">
        <v>82</v>
      </c>
      <c r="C89" s="23" t="s">
        <v>21</v>
      </c>
      <c r="D89" s="23" t="s">
        <v>168</v>
      </c>
      <c r="E89" s="23">
        <v>2</v>
      </c>
      <c r="F89" s="23" t="s">
        <v>58</v>
      </c>
      <c r="G89" s="23" t="s">
        <v>158</v>
      </c>
      <c r="H89" s="23">
        <v>4</v>
      </c>
      <c r="I89" s="23">
        <v>51</v>
      </c>
      <c r="J89" s="23">
        <v>15000</v>
      </c>
      <c r="K89" s="23">
        <v>33</v>
      </c>
      <c r="L89" s="23">
        <v>2</v>
      </c>
      <c r="M89" s="23" t="s">
        <v>161</v>
      </c>
      <c r="N89" s="23">
        <v>0</v>
      </c>
      <c r="P89" s="23">
        <v>0</v>
      </c>
      <c r="S89" s="23"/>
    </row>
    <row r="90" spans="1:19">
      <c r="A90" s="23" t="s">
        <v>89</v>
      </c>
      <c r="B90" s="23" t="s">
        <v>82</v>
      </c>
      <c r="C90" s="23" t="s">
        <v>21</v>
      </c>
      <c r="D90" s="23" t="s">
        <v>168</v>
      </c>
      <c r="E90" s="23">
        <v>2</v>
      </c>
      <c r="F90" s="23" t="s">
        <v>58</v>
      </c>
      <c r="G90" s="23" t="s">
        <v>155</v>
      </c>
      <c r="H90" s="23">
        <v>5</v>
      </c>
      <c r="I90" s="23">
        <v>51</v>
      </c>
      <c r="J90" s="23">
        <v>15000</v>
      </c>
      <c r="K90" s="23">
        <v>33</v>
      </c>
      <c r="L90" s="23">
        <v>2</v>
      </c>
      <c r="M90" s="23" t="s">
        <v>160</v>
      </c>
      <c r="N90" s="23">
        <v>0</v>
      </c>
      <c r="P90" s="23">
        <v>0</v>
      </c>
      <c r="S90" s="26"/>
    </row>
    <row r="91" spans="1:19">
      <c r="A91" s="23" t="s">
        <v>89</v>
      </c>
      <c r="B91" s="23" t="s">
        <v>82</v>
      </c>
      <c r="C91" s="23" t="s">
        <v>21</v>
      </c>
      <c r="D91" s="23" t="s">
        <v>168</v>
      </c>
      <c r="E91" s="23">
        <v>2</v>
      </c>
      <c r="F91" s="23" t="s">
        <v>58</v>
      </c>
      <c r="G91" s="23" t="s">
        <v>154</v>
      </c>
      <c r="H91" s="23">
        <v>6</v>
      </c>
      <c r="I91" s="23">
        <v>51</v>
      </c>
      <c r="J91" s="23">
        <v>15000</v>
      </c>
      <c r="K91" s="23">
        <v>33</v>
      </c>
      <c r="L91" s="23">
        <v>2</v>
      </c>
      <c r="M91" s="23" t="s">
        <v>160</v>
      </c>
      <c r="N91" s="23">
        <v>1</v>
      </c>
      <c r="O91" s="23" t="s">
        <v>192</v>
      </c>
      <c r="P91" s="23">
        <v>1</v>
      </c>
      <c r="Q91" s="23" t="s">
        <v>462</v>
      </c>
      <c r="R91" s="23">
        <v>1</v>
      </c>
      <c r="S91" s="26">
        <v>2.331205317213898</v>
      </c>
    </row>
    <row r="92" spans="1:19">
      <c r="A92" s="23" t="s">
        <v>26</v>
      </c>
      <c r="B92" s="23" t="s">
        <v>82</v>
      </c>
      <c r="C92" s="23" t="s">
        <v>22</v>
      </c>
      <c r="D92" s="23" t="s">
        <v>172</v>
      </c>
      <c r="E92" s="23">
        <v>1</v>
      </c>
      <c r="F92" s="23" t="s">
        <v>50</v>
      </c>
      <c r="G92" s="23" t="s">
        <v>147</v>
      </c>
      <c r="H92" s="23">
        <v>1</v>
      </c>
      <c r="I92" s="23">
        <v>37</v>
      </c>
      <c r="J92" s="23">
        <v>6000</v>
      </c>
      <c r="K92" s="23">
        <v>19</v>
      </c>
      <c r="L92" s="23">
        <v>1</v>
      </c>
      <c r="M92" s="23" t="s">
        <v>160</v>
      </c>
      <c r="N92" s="23">
        <v>0</v>
      </c>
      <c r="P92" s="23">
        <v>0</v>
      </c>
      <c r="S92" s="23"/>
    </row>
    <row r="93" spans="1:19">
      <c r="A93" s="23" t="s">
        <v>26</v>
      </c>
      <c r="B93" s="23" t="s">
        <v>82</v>
      </c>
      <c r="C93" s="23" t="s">
        <v>22</v>
      </c>
      <c r="D93" s="23" t="s">
        <v>172</v>
      </c>
      <c r="E93" s="23">
        <v>1</v>
      </c>
      <c r="F93" s="23" t="s">
        <v>50</v>
      </c>
      <c r="G93" s="23" t="s">
        <v>148</v>
      </c>
      <c r="H93" s="23">
        <v>2</v>
      </c>
      <c r="I93" s="23">
        <v>37</v>
      </c>
      <c r="J93" s="23">
        <v>6000</v>
      </c>
      <c r="K93" s="23">
        <v>19</v>
      </c>
      <c r="L93" s="23">
        <v>1</v>
      </c>
      <c r="M93" s="23" t="s">
        <v>161</v>
      </c>
      <c r="N93" s="23">
        <v>1</v>
      </c>
      <c r="O93" s="23" t="s">
        <v>193</v>
      </c>
      <c r="P93" s="23">
        <v>1</v>
      </c>
      <c r="Q93" s="23" t="s">
        <v>193</v>
      </c>
      <c r="S93" s="23"/>
    </row>
    <row r="94" spans="1:19">
      <c r="A94" s="23" t="s">
        <v>90</v>
      </c>
      <c r="B94" s="23" t="s">
        <v>82</v>
      </c>
      <c r="C94" s="23" t="s">
        <v>22</v>
      </c>
      <c r="D94" s="23" t="s">
        <v>169</v>
      </c>
      <c r="E94" s="23">
        <v>1</v>
      </c>
      <c r="F94" s="23" t="s">
        <v>50</v>
      </c>
      <c r="G94" s="23" t="s">
        <v>149</v>
      </c>
      <c r="H94" s="23">
        <v>3</v>
      </c>
      <c r="I94" s="23">
        <v>37</v>
      </c>
      <c r="J94" s="23">
        <v>6000</v>
      </c>
      <c r="K94" s="23">
        <v>19</v>
      </c>
      <c r="L94" s="23">
        <v>1</v>
      </c>
      <c r="M94" s="23" t="s">
        <v>160</v>
      </c>
      <c r="N94" s="23">
        <v>1</v>
      </c>
      <c r="O94" s="23" t="s">
        <v>193</v>
      </c>
      <c r="P94" s="23">
        <v>1</v>
      </c>
      <c r="Q94" s="23" t="s">
        <v>193</v>
      </c>
      <c r="S94" s="23"/>
    </row>
    <row r="95" spans="1:19">
      <c r="A95" s="23" t="s">
        <v>90</v>
      </c>
      <c r="B95" s="23" t="s">
        <v>82</v>
      </c>
      <c r="C95" s="23" t="s">
        <v>22</v>
      </c>
      <c r="D95" s="23" t="s">
        <v>169</v>
      </c>
      <c r="E95" s="23">
        <v>1</v>
      </c>
      <c r="F95" s="23" t="s">
        <v>50</v>
      </c>
      <c r="G95" s="23" t="s">
        <v>150</v>
      </c>
      <c r="H95" s="23">
        <v>4</v>
      </c>
      <c r="I95" s="23">
        <v>37</v>
      </c>
      <c r="J95" s="23">
        <v>6000</v>
      </c>
      <c r="K95" s="23">
        <v>19</v>
      </c>
      <c r="L95" s="23">
        <v>1</v>
      </c>
      <c r="M95" s="23" t="s">
        <v>161</v>
      </c>
      <c r="N95" s="23">
        <v>1</v>
      </c>
      <c r="O95" s="23" t="s">
        <v>193</v>
      </c>
      <c r="P95" s="23">
        <v>1</v>
      </c>
      <c r="Q95" s="23" t="s">
        <v>193</v>
      </c>
      <c r="S95" s="23"/>
    </row>
    <row r="96" spans="1:19">
      <c r="A96" s="23" t="s">
        <v>90</v>
      </c>
      <c r="B96" s="23" t="s">
        <v>82</v>
      </c>
      <c r="C96" s="23" t="s">
        <v>22</v>
      </c>
      <c r="D96" s="23" t="s">
        <v>169</v>
      </c>
      <c r="E96" s="23">
        <v>1</v>
      </c>
      <c r="F96" s="23" t="s">
        <v>50</v>
      </c>
      <c r="G96" s="23" t="s">
        <v>151</v>
      </c>
      <c r="H96" s="23">
        <v>5</v>
      </c>
      <c r="I96" s="23">
        <v>37</v>
      </c>
      <c r="J96" s="23">
        <v>6000</v>
      </c>
      <c r="K96" s="23">
        <v>19</v>
      </c>
      <c r="L96" s="23">
        <v>1</v>
      </c>
      <c r="M96" s="23" t="s">
        <v>161</v>
      </c>
      <c r="N96" s="23">
        <v>1</v>
      </c>
      <c r="O96" s="23" t="s">
        <v>193</v>
      </c>
      <c r="P96" s="23">
        <v>1</v>
      </c>
      <c r="Q96" s="23" t="s">
        <v>193</v>
      </c>
      <c r="S96" s="23"/>
    </row>
    <row r="97" spans="1:19">
      <c r="A97" s="23" t="s">
        <v>90</v>
      </c>
      <c r="B97" s="23" t="s">
        <v>82</v>
      </c>
      <c r="C97" s="23" t="s">
        <v>22</v>
      </c>
      <c r="D97" s="23" t="s">
        <v>169</v>
      </c>
      <c r="E97" s="23">
        <v>1</v>
      </c>
      <c r="F97" s="23" t="s">
        <v>50</v>
      </c>
      <c r="G97" s="23" t="s">
        <v>152</v>
      </c>
      <c r="H97" s="23">
        <v>6</v>
      </c>
      <c r="I97" s="23">
        <v>37</v>
      </c>
      <c r="J97" s="23">
        <v>6000</v>
      </c>
      <c r="K97" s="23">
        <v>19</v>
      </c>
      <c r="L97" s="23">
        <v>1</v>
      </c>
      <c r="M97" s="23" t="s">
        <v>160</v>
      </c>
      <c r="N97" s="23">
        <v>1</v>
      </c>
      <c r="O97" s="23" t="s">
        <v>193</v>
      </c>
      <c r="P97" s="23">
        <v>1</v>
      </c>
      <c r="Q97" s="23" t="s">
        <v>193</v>
      </c>
      <c r="R97" s="23">
        <v>0</v>
      </c>
      <c r="S97" s="23">
        <v>16.67723427</v>
      </c>
    </row>
    <row r="98" spans="1:19">
      <c r="A98" s="23" t="s">
        <v>90</v>
      </c>
      <c r="B98" s="23" t="s">
        <v>82</v>
      </c>
      <c r="C98" s="23" t="s">
        <v>21</v>
      </c>
      <c r="D98" s="23" t="s">
        <v>169</v>
      </c>
      <c r="E98" s="23">
        <v>3</v>
      </c>
      <c r="F98" s="23" t="s">
        <v>52</v>
      </c>
      <c r="G98" s="23" t="s">
        <v>153</v>
      </c>
      <c r="H98" s="23">
        <v>1</v>
      </c>
      <c r="I98" s="23">
        <v>37</v>
      </c>
      <c r="J98" s="23">
        <v>6000</v>
      </c>
      <c r="K98" s="23">
        <v>19</v>
      </c>
      <c r="L98" s="23">
        <v>3</v>
      </c>
      <c r="M98" s="23" t="s">
        <v>160</v>
      </c>
      <c r="N98" s="23">
        <v>1</v>
      </c>
      <c r="O98" s="23" t="s">
        <v>193</v>
      </c>
      <c r="P98" s="23">
        <v>1</v>
      </c>
      <c r="Q98" s="23" t="s">
        <v>193</v>
      </c>
      <c r="S98" s="23"/>
    </row>
    <row r="99" spans="1:19">
      <c r="A99" s="23" t="s">
        <v>90</v>
      </c>
      <c r="B99" s="23" t="s">
        <v>82</v>
      </c>
      <c r="C99" s="23" t="s">
        <v>21</v>
      </c>
      <c r="D99" s="23" t="s">
        <v>169</v>
      </c>
      <c r="E99" s="23">
        <v>3</v>
      </c>
      <c r="F99" s="23" t="s">
        <v>52</v>
      </c>
      <c r="G99" s="23" t="s">
        <v>154</v>
      </c>
      <c r="H99" s="23">
        <v>2</v>
      </c>
      <c r="I99" s="23">
        <v>37</v>
      </c>
      <c r="J99" s="23">
        <v>6000</v>
      </c>
      <c r="K99" s="23">
        <v>19</v>
      </c>
      <c r="L99" s="23">
        <v>3</v>
      </c>
      <c r="M99" s="23" t="s">
        <v>161</v>
      </c>
      <c r="N99" s="23">
        <v>1</v>
      </c>
      <c r="O99" s="23" t="s">
        <v>193</v>
      </c>
      <c r="P99" s="23">
        <v>1</v>
      </c>
      <c r="Q99" s="23" t="s">
        <v>193</v>
      </c>
      <c r="S99" s="23"/>
    </row>
    <row r="100" spans="1:19">
      <c r="A100" s="23" t="s">
        <v>90</v>
      </c>
      <c r="B100" s="23" t="s">
        <v>82</v>
      </c>
      <c r="C100" s="23" t="s">
        <v>21</v>
      </c>
      <c r="D100" s="23" t="s">
        <v>169</v>
      </c>
      <c r="E100" s="23">
        <v>3</v>
      </c>
      <c r="F100" s="23" t="s">
        <v>51</v>
      </c>
      <c r="G100" s="23" t="s">
        <v>155</v>
      </c>
      <c r="H100" s="23">
        <v>3</v>
      </c>
      <c r="I100" s="23">
        <v>37</v>
      </c>
      <c r="J100" s="23">
        <v>6000</v>
      </c>
      <c r="K100" s="23">
        <v>19</v>
      </c>
      <c r="L100" s="23">
        <v>3</v>
      </c>
      <c r="M100" s="23" t="s">
        <v>161</v>
      </c>
      <c r="N100" s="23">
        <v>1</v>
      </c>
      <c r="O100" s="23" t="s">
        <v>193</v>
      </c>
      <c r="P100" s="23">
        <v>1</v>
      </c>
      <c r="Q100" s="23" t="s">
        <v>193</v>
      </c>
      <c r="S100" s="23"/>
    </row>
    <row r="101" spans="1:19">
      <c r="A101" s="23" t="s">
        <v>90</v>
      </c>
      <c r="B101" s="23" t="s">
        <v>82</v>
      </c>
      <c r="C101" s="23" t="s">
        <v>21</v>
      </c>
      <c r="D101" s="23" t="s">
        <v>169</v>
      </c>
      <c r="E101" s="23">
        <v>3</v>
      </c>
      <c r="F101" s="23" t="s">
        <v>51</v>
      </c>
      <c r="G101" s="23" t="s">
        <v>156</v>
      </c>
      <c r="H101" s="23">
        <v>4</v>
      </c>
      <c r="I101" s="23">
        <v>37</v>
      </c>
      <c r="J101" s="23">
        <v>6000</v>
      </c>
      <c r="K101" s="23">
        <v>19</v>
      </c>
      <c r="L101" s="23">
        <v>3</v>
      </c>
      <c r="M101" s="23" t="s">
        <v>160</v>
      </c>
      <c r="N101" s="23">
        <v>1</v>
      </c>
      <c r="O101" s="23" t="s">
        <v>193</v>
      </c>
      <c r="P101" s="23">
        <v>1</v>
      </c>
      <c r="Q101" s="23" t="s">
        <v>193</v>
      </c>
      <c r="S101" s="23"/>
    </row>
    <row r="102" spans="1:19">
      <c r="A102" s="23" t="s">
        <v>90</v>
      </c>
      <c r="B102" s="23" t="s">
        <v>82</v>
      </c>
      <c r="C102" s="23" t="s">
        <v>21</v>
      </c>
      <c r="D102" s="23" t="s">
        <v>169</v>
      </c>
      <c r="E102" s="23">
        <v>3</v>
      </c>
      <c r="F102" s="23" t="s">
        <v>51</v>
      </c>
      <c r="G102" s="23" t="s">
        <v>157</v>
      </c>
      <c r="H102" s="23">
        <v>5</v>
      </c>
      <c r="I102" s="23">
        <v>37</v>
      </c>
      <c r="J102" s="23">
        <v>6000</v>
      </c>
      <c r="K102" s="23">
        <v>19</v>
      </c>
      <c r="L102" s="23">
        <v>3</v>
      </c>
      <c r="M102" s="23" t="s">
        <v>161</v>
      </c>
      <c r="N102" s="23">
        <v>1</v>
      </c>
      <c r="O102" s="23" t="s">
        <v>193</v>
      </c>
      <c r="P102" s="23">
        <v>1</v>
      </c>
      <c r="Q102" s="23" t="s">
        <v>193</v>
      </c>
      <c r="S102" s="26"/>
    </row>
    <row r="103" spans="1:19">
      <c r="A103" s="23" t="s">
        <v>90</v>
      </c>
      <c r="B103" s="23" t="s">
        <v>82</v>
      </c>
      <c r="C103" s="23" t="s">
        <v>21</v>
      </c>
      <c r="D103" s="23" t="s">
        <v>169</v>
      </c>
      <c r="E103" s="23">
        <v>3</v>
      </c>
      <c r="F103" s="23" t="s">
        <v>51</v>
      </c>
      <c r="G103" s="23" t="s">
        <v>158</v>
      </c>
      <c r="H103" s="23">
        <v>6</v>
      </c>
      <c r="I103" s="23">
        <v>37</v>
      </c>
      <c r="J103" s="23">
        <v>6000</v>
      </c>
      <c r="K103" s="23">
        <v>19</v>
      </c>
      <c r="L103" s="23">
        <v>3</v>
      </c>
      <c r="M103" s="23" t="s">
        <v>160</v>
      </c>
      <c r="N103" s="23">
        <v>1</v>
      </c>
      <c r="O103" s="23" t="s">
        <v>193</v>
      </c>
      <c r="P103" s="23">
        <v>1</v>
      </c>
      <c r="Q103" s="23" t="s">
        <v>190</v>
      </c>
      <c r="R103" s="23">
        <v>0</v>
      </c>
      <c r="S103" s="26">
        <v>16.768091467018895</v>
      </c>
    </row>
    <row r="104" spans="1:19">
      <c r="A104" s="23" t="s">
        <v>90</v>
      </c>
      <c r="B104" s="23" t="s">
        <v>82</v>
      </c>
      <c r="C104" s="23" t="s">
        <v>14</v>
      </c>
      <c r="D104" s="23" t="s">
        <v>169</v>
      </c>
      <c r="E104" s="23">
        <v>2</v>
      </c>
      <c r="F104" s="23" t="s">
        <v>58</v>
      </c>
      <c r="G104" s="23" t="s">
        <v>156</v>
      </c>
      <c r="H104" s="23">
        <v>1</v>
      </c>
      <c r="I104" s="23">
        <v>37</v>
      </c>
      <c r="J104" s="23">
        <v>6000</v>
      </c>
      <c r="K104" s="23">
        <v>19</v>
      </c>
      <c r="L104" s="23">
        <v>2</v>
      </c>
      <c r="M104" s="23" t="s">
        <v>161</v>
      </c>
      <c r="N104" s="23">
        <v>0</v>
      </c>
      <c r="P104" s="23">
        <v>0</v>
      </c>
      <c r="S104" s="23"/>
    </row>
    <row r="105" spans="1:19">
      <c r="A105" s="23" t="s">
        <v>90</v>
      </c>
      <c r="B105" s="23" t="s">
        <v>82</v>
      </c>
      <c r="C105" s="23" t="s">
        <v>14</v>
      </c>
      <c r="D105" s="23" t="s">
        <v>169</v>
      </c>
      <c r="E105" s="23">
        <v>2</v>
      </c>
      <c r="F105" s="23" t="s">
        <v>58</v>
      </c>
      <c r="G105" s="23" t="s">
        <v>157</v>
      </c>
      <c r="H105" s="23">
        <v>2</v>
      </c>
      <c r="I105" s="23">
        <v>37</v>
      </c>
      <c r="J105" s="23">
        <v>6000</v>
      </c>
      <c r="K105" s="23">
        <v>19</v>
      </c>
      <c r="L105" s="23">
        <v>2</v>
      </c>
      <c r="M105" s="23" t="s">
        <v>160</v>
      </c>
      <c r="N105" s="23">
        <v>1</v>
      </c>
      <c r="O105" s="23" t="s">
        <v>190</v>
      </c>
      <c r="P105" s="23">
        <v>1</v>
      </c>
      <c r="S105" s="23"/>
    </row>
    <row r="106" spans="1:19">
      <c r="A106" s="23" t="s">
        <v>90</v>
      </c>
      <c r="B106" s="23" t="s">
        <v>82</v>
      </c>
      <c r="C106" s="23" t="s">
        <v>14</v>
      </c>
      <c r="D106" s="23" t="s">
        <v>169</v>
      </c>
      <c r="E106" s="23">
        <v>2</v>
      </c>
      <c r="F106" s="23" t="s">
        <v>58</v>
      </c>
      <c r="G106" s="23" t="s">
        <v>153</v>
      </c>
      <c r="H106" s="23">
        <v>3</v>
      </c>
      <c r="I106" s="23">
        <v>37</v>
      </c>
      <c r="J106" s="23">
        <v>6000</v>
      </c>
      <c r="K106" s="23">
        <v>19</v>
      </c>
      <c r="L106" s="23">
        <v>2</v>
      </c>
      <c r="M106" s="23" t="s">
        <v>161</v>
      </c>
      <c r="N106" s="23">
        <v>1</v>
      </c>
      <c r="O106" s="23" t="s">
        <v>190</v>
      </c>
      <c r="P106" s="23">
        <v>1</v>
      </c>
      <c r="S106" s="23"/>
    </row>
    <row r="107" spans="1:19">
      <c r="A107" s="23" t="s">
        <v>90</v>
      </c>
      <c r="B107" s="23" t="s">
        <v>82</v>
      </c>
      <c r="C107" s="23" t="s">
        <v>14</v>
      </c>
      <c r="D107" s="23" t="s">
        <v>169</v>
      </c>
      <c r="E107" s="23">
        <v>2</v>
      </c>
      <c r="F107" s="23" t="s">
        <v>58</v>
      </c>
      <c r="G107" s="23" t="s">
        <v>158</v>
      </c>
      <c r="H107" s="23">
        <v>4</v>
      </c>
      <c r="I107" s="23">
        <v>37</v>
      </c>
      <c r="J107" s="23">
        <v>6000</v>
      </c>
      <c r="K107" s="23">
        <v>19</v>
      </c>
      <c r="L107" s="23">
        <v>2</v>
      </c>
      <c r="M107" s="23" t="s">
        <v>161</v>
      </c>
      <c r="N107" s="23">
        <v>1</v>
      </c>
      <c r="O107" s="23" t="s">
        <v>190</v>
      </c>
      <c r="P107" s="23">
        <v>1</v>
      </c>
      <c r="S107" s="23"/>
    </row>
    <row r="108" spans="1:19">
      <c r="A108" s="23" t="s">
        <v>90</v>
      </c>
      <c r="B108" s="23" t="s">
        <v>82</v>
      </c>
      <c r="C108" s="23" t="s">
        <v>14</v>
      </c>
      <c r="D108" s="23" t="s">
        <v>169</v>
      </c>
      <c r="E108" s="23">
        <v>2</v>
      </c>
      <c r="F108" s="23" t="s">
        <v>58</v>
      </c>
      <c r="G108" s="23" t="s">
        <v>155</v>
      </c>
      <c r="H108" s="23">
        <v>5</v>
      </c>
      <c r="I108" s="23">
        <v>37</v>
      </c>
      <c r="J108" s="23">
        <v>6000</v>
      </c>
      <c r="K108" s="23">
        <v>19</v>
      </c>
      <c r="L108" s="23">
        <v>2</v>
      </c>
      <c r="M108" s="23" t="s">
        <v>160</v>
      </c>
      <c r="N108" s="23">
        <v>1</v>
      </c>
      <c r="O108" s="23" t="s">
        <v>190</v>
      </c>
      <c r="P108" s="23">
        <v>1</v>
      </c>
      <c r="S108" s="26"/>
    </row>
    <row r="109" spans="1:19">
      <c r="A109" s="23" t="s">
        <v>90</v>
      </c>
      <c r="B109" s="23" t="s">
        <v>82</v>
      </c>
      <c r="C109" s="23" t="s">
        <v>14</v>
      </c>
      <c r="D109" s="23" t="s">
        <v>169</v>
      </c>
      <c r="E109" s="23">
        <v>2</v>
      </c>
      <c r="F109" s="23" t="s">
        <v>58</v>
      </c>
      <c r="G109" s="23" t="s">
        <v>154</v>
      </c>
      <c r="H109" s="23">
        <v>6</v>
      </c>
      <c r="I109" s="23">
        <v>37</v>
      </c>
      <c r="J109" s="23">
        <v>6000</v>
      </c>
      <c r="K109" s="23">
        <v>19</v>
      </c>
      <c r="L109" s="23">
        <v>2</v>
      </c>
      <c r="M109" s="23" t="s">
        <v>160</v>
      </c>
      <c r="N109" s="23">
        <v>1</v>
      </c>
      <c r="O109" s="23" t="s">
        <v>190</v>
      </c>
      <c r="P109" s="23">
        <v>1</v>
      </c>
      <c r="R109" s="23">
        <v>0</v>
      </c>
      <c r="S109" s="26">
        <v>12.37946092247841</v>
      </c>
    </row>
    <row r="110" spans="1:19">
      <c r="A110" s="23" t="s">
        <v>27</v>
      </c>
      <c r="B110" s="23" t="s">
        <v>82</v>
      </c>
      <c r="C110" s="23" t="s">
        <v>14</v>
      </c>
      <c r="D110" s="23" t="s">
        <v>173</v>
      </c>
      <c r="E110" s="23">
        <v>1</v>
      </c>
      <c r="F110" s="23" t="s">
        <v>50</v>
      </c>
      <c r="G110" s="23" t="s">
        <v>147</v>
      </c>
      <c r="H110" s="23">
        <v>1</v>
      </c>
      <c r="I110" s="23">
        <v>30</v>
      </c>
      <c r="J110" s="23">
        <v>7000</v>
      </c>
      <c r="K110" s="23">
        <v>12</v>
      </c>
      <c r="L110" s="23">
        <v>1</v>
      </c>
      <c r="M110" s="23" t="s">
        <v>160</v>
      </c>
      <c r="N110" s="23">
        <v>0</v>
      </c>
      <c r="P110" s="23">
        <v>0</v>
      </c>
      <c r="S110" s="23"/>
    </row>
    <row r="111" spans="1:19">
      <c r="A111" s="23" t="s">
        <v>27</v>
      </c>
      <c r="B111" s="23" t="s">
        <v>82</v>
      </c>
      <c r="C111" s="23" t="s">
        <v>14</v>
      </c>
      <c r="D111" s="23" t="s">
        <v>173</v>
      </c>
      <c r="E111" s="23">
        <v>1</v>
      </c>
      <c r="F111" s="23" t="s">
        <v>50</v>
      </c>
      <c r="G111" s="23" t="s">
        <v>148</v>
      </c>
      <c r="H111" s="23">
        <v>2</v>
      </c>
      <c r="I111" s="23">
        <v>30</v>
      </c>
      <c r="J111" s="23">
        <v>7000</v>
      </c>
      <c r="K111" s="23">
        <v>12</v>
      </c>
      <c r="L111" s="23">
        <v>1</v>
      </c>
      <c r="M111" s="23" t="s">
        <v>161</v>
      </c>
      <c r="N111" s="23">
        <v>0</v>
      </c>
      <c r="P111" s="23">
        <v>0</v>
      </c>
      <c r="S111" s="23"/>
    </row>
    <row r="112" spans="1:19">
      <c r="A112" s="23" t="s">
        <v>91</v>
      </c>
      <c r="B112" s="23" t="s">
        <v>82</v>
      </c>
      <c r="C112" s="23" t="s">
        <v>14</v>
      </c>
      <c r="D112" s="23" t="s">
        <v>164</v>
      </c>
      <c r="E112" s="23">
        <v>1</v>
      </c>
      <c r="F112" s="23" t="s">
        <v>50</v>
      </c>
      <c r="G112" s="23" t="s">
        <v>149</v>
      </c>
      <c r="H112" s="23">
        <v>3</v>
      </c>
      <c r="I112" s="23">
        <v>30</v>
      </c>
      <c r="J112" s="23">
        <v>7000</v>
      </c>
      <c r="K112" s="23">
        <v>12</v>
      </c>
      <c r="L112" s="23">
        <v>1</v>
      </c>
      <c r="M112" s="23" t="s">
        <v>160</v>
      </c>
      <c r="N112" s="23">
        <v>0</v>
      </c>
      <c r="P112" s="23">
        <v>0</v>
      </c>
      <c r="S112" s="23"/>
    </row>
    <row r="113" spans="1:19">
      <c r="A113" s="23" t="s">
        <v>91</v>
      </c>
      <c r="B113" s="23" t="s">
        <v>82</v>
      </c>
      <c r="C113" s="23" t="s">
        <v>14</v>
      </c>
      <c r="D113" s="23" t="s">
        <v>164</v>
      </c>
      <c r="E113" s="23">
        <v>1</v>
      </c>
      <c r="F113" s="23" t="s">
        <v>50</v>
      </c>
      <c r="G113" s="23" t="s">
        <v>150</v>
      </c>
      <c r="H113" s="23">
        <v>4</v>
      </c>
      <c r="I113" s="23">
        <v>30</v>
      </c>
      <c r="J113" s="23">
        <v>7000</v>
      </c>
      <c r="K113" s="23">
        <v>12</v>
      </c>
      <c r="L113" s="23">
        <v>1</v>
      </c>
      <c r="M113" s="23" t="s">
        <v>161</v>
      </c>
      <c r="N113" s="23">
        <v>0</v>
      </c>
      <c r="P113" s="23">
        <v>0</v>
      </c>
      <c r="S113" s="23"/>
    </row>
    <row r="114" spans="1:19">
      <c r="A114" s="23" t="s">
        <v>91</v>
      </c>
      <c r="B114" s="23" t="s">
        <v>82</v>
      </c>
      <c r="C114" s="23" t="s">
        <v>14</v>
      </c>
      <c r="D114" s="23" t="s">
        <v>164</v>
      </c>
      <c r="E114" s="23">
        <v>1</v>
      </c>
      <c r="F114" s="23" t="s">
        <v>50</v>
      </c>
      <c r="G114" s="23" t="s">
        <v>151</v>
      </c>
      <c r="H114" s="23">
        <v>5</v>
      </c>
      <c r="I114" s="23">
        <v>30</v>
      </c>
      <c r="J114" s="23">
        <v>7000</v>
      </c>
      <c r="K114" s="23">
        <v>12</v>
      </c>
      <c r="L114" s="23">
        <v>1</v>
      </c>
      <c r="M114" s="23" t="s">
        <v>161</v>
      </c>
      <c r="N114" s="23">
        <v>0</v>
      </c>
      <c r="P114" s="23">
        <v>0</v>
      </c>
      <c r="S114" s="23"/>
    </row>
    <row r="115" spans="1:19">
      <c r="A115" s="23" t="s">
        <v>91</v>
      </c>
      <c r="B115" s="23" t="s">
        <v>82</v>
      </c>
      <c r="C115" s="23" t="s">
        <v>14</v>
      </c>
      <c r="D115" s="23" t="s">
        <v>164</v>
      </c>
      <c r="E115" s="23">
        <v>1</v>
      </c>
      <c r="F115" s="23" t="s">
        <v>50</v>
      </c>
      <c r="G115" s="23" t="s">
        <v>152</v>
      </c>
      <c r="H115" s="23">
        <v>6</v>
      </c>
      <c r="I115" s="23">
        <v>30</v>
      </c>
      <c r="J115" s="23">
        <v>7000</v>
      </c>
      <c r="K115" s="23">
        <v>12</v>
      </c>
      <c r="L115" s="23">
        <v>1</v>
      </c>
      <c r="M115" s="23" t="s">
        <v>160</v>
      </c>
      <c r="N115" s="23">
        <v>1</v>
      </c>
      <c r="O115" s="23" t="s">
        <v>190</v>
      </c>
      <c r="P115" s="23">
        <v>1</v>
      </c>
      <c r="R115" s="23">
        <v>0</v>
      </c>
      <c r="S115" s="23">
        <v>2.4741382070239899</v>
      </c>
    </row>
    <row r="116" spans="1:19">
      <c r="A116" s="23" t="s">
        <v>91</v>
      </c>
      <c r="B116" s="23" t="s">
        <v>82</v>
      </c>
      <c r="C116" s="23" t="s">
        <v>21</v>
      </c>
      <c r="D116" s="23" t="s">
        <v>164</v>
      </c>
      <c r="E116" s="23">
        <v>3</v>
      </c>
      <c r="F116" s="23" t="s">
        <v>52</v>
      </c>
      <c r="G116" s="23" t="s">
        <v>153</v>
      </c>
      <c r="H116" s="23">
        <v>1</v>
      </c>
      <c r="I116" s="23">
        <v>30</v>
      </c>
      <c r="J116" s="23">
        <v>7000</v>
      </c>
      <c r="K116" s="23">
        <v>12</v>
      </c>
      <c r="L116" s="23">
        <v>3</v>
      </c>
      <c r="M116" s="23" t="s">
        <v>160</v>
      </c>
      <c r="N116" s="23">
        <v>0</v>
      </c>
      <c r="P116" s="23">
        <v>0</v>
      </c>
      <c r="S116" s="23"/>
    </row>
    <row r="117" spans="1:19">
      <c r="A117" s="23" t="s">
        <v>91</v>
      </c>
      <c r="B117" s="23" t="s">
        <v>82</v>
      </c>
      <c r="C117" s="23" t="s">
        <v>21</v>
      </c>
      <c r="D117" s="23" t="s">
        <v>164</v>
      </c>
      <c r="E117" s="23">
        <v>3</v>
      </c>
      <c r="F117" s="23" t="s">
        <v>52</v>
      </c>
      <c r="G117" s="23" t="s">
        <v>154</v>
      </c>
      <c r="H117" s="23">
        <v>2</v>
      </c>
      <c r="I117" s="23">
        <v>30</v>
      </c>
      <c r="J117" s="23">
        <v>7000</v>
      </c>
      <c r="K117" s="23">
        <v>12</v>
      </c>
      <c r="L117" s="23">
        <v>3</v>
      </c>
      <c r="M117" s="23" t="s">
        <v>161</v>
      </c>
      <c r="N117" s="23">
        <v>0</v>
      </c>
      <c r="P117" s="23">
        <v>0</v>
      </c>
      <c r="S117" s="23"/>
    </row>
    <row r="118" spans="1:19">
      <c r="A118" s="23" t="s">
        <v>91</v>
      </c>
      <c r="B118" s="23" t="s">
        <v>82</v>
      </c>
      <c r="C118" s="23" t="s">
        <v>21</v>
      </c>
      <c r="D118" s="23" t="s">
        <v>164</v>
      </c>
      <c r="E118" s="23">
        <v>3</v>
      </c>
      <c r="F118" s="23" t="s">
        <v>51</v>
      </c>
      <c r="G118" s="23" t="s">
        <v>155</v>
      </c>
      <c r="H118" s="23">
        <v>3</v>
      </c>
      <c r="I118" s="23">
        <v>30</v>
      </c>
      <c r="J118" s="23">
        <v>7000</v>
      </c>
      <c r="K118" s="23">
        <v>12</v>
      </c>
      <c r="L118" s="23">
        <v>3</v>
      </c>
      <c r="M118" s="23" t="s">
        <v>161</v>
      </c>
      <c r="N118" s="23">
        <v>0</v>
      </c>
      <c r="P118" s="23">
        <v>0</v>
      </c>
      <c r="S118" s="23"/>
    </row>
    <row r="119" spans="1:19">
      <c r="A119" s="23" t="s">
        <v>91</v>
      </c>
      <c r="B119" s="23" t="s">
        <v>82</v>
      </c>
      <c r="C119" s="23" t="s">
        <v>21</v>
      </c>
      <c r="D119" s="23" t="s">
        <v>164</v>
      </c>
      <c r="E119" s="23">
        <v>3</v>
      </c>
      <c r="F119" s="23" t="s">
        <v>51</v>
      </c>
      <c r="G119" s="23" t="s">
        <v>156</v>
      </c>
      <c r="H119" s="23">
        <v>4</v>
      </c>
      <c r="I119" s="23">
        <v>30</v>
      </c>
      <c r="J119" s="23">
        <v>7000</v>
      </c>
      <c r="K119" s="23">
        <v>12</v>
      </c>
      <c r="L119" s="23">
        <v>3</v>
      </c>
      <c r="M119" s="23" t="s">
        <v>160</v>
      </c>
      <c r="N119" s="23">
        <v>0</v>
      </c>
      <c r="P119" s="23">
        <v>0</v>
      </c>
      <c r="S119" s="23"/>
    </row>
    <row r="120" spans="1:19">
      <c r="A120" s="23" t="s">
        <v>91</v>
      </c>
      <c r="B120" s="23" t="s">
        <v>82</v>
      </c>
      <c r="C120" s="23" t="s">
        <v>21</v>
      </c>
      <c r="D120" s="23" t="s">
        <v>164</v>
      </c>
      <c r="E120" s="23">
        <v>3</v>
      </c>
      <c r="F120" s="23" t="s">
        <v>51</v>
      </c>
      <c r="G120" s="23" t="s">
        <v>157</v>
      </c>
      <c r="H120" s="23">
        <v>5</v>
      </c>
      <c r="I120" s="23">
        <v>30</v>
      </c>
      <c r="J120" s="23">
        <v>7000</v>
      </c>
      <c r="K120" s="23">
        <v>12</v>
      </c>
      <c r="L120" s="23">
        <v>3</v>
      </c>
      <c r="M120" s="23" t="s">
        <v>161</v>
      </c>
      <c r="N120" s="23">
        <v>0</v>
      </c>
      <c r="P120" s="23">
        <v>0</v>
      </c>
      <c r="S120" s="26"/>
    </row>
    <row r="121" spans="1:19">
      <c r="A121" s="23" t="s">
        <v>91</v>
      </c>
      <c r="B121" s="23" t="s">
        <v>82</v>
      </c>
      <c r="C121" s="23" t="s">
        <v>21</v>
      </c>
      <c r="D121" s="23" t="s">
        <v>164</v>
      </c>
      <c r="E121" s="23">
        <v>3</v>
      </c>
      <c r="F121" s="23" t="s">
        <v>51</v>
      </c>
      <c r="G121" s="23" t="s">
        <v>158</v>
      </c>
      <c r="H121" s="23">
        <v>6</v>
      </c>
      <c r="I121" s="23">
        <v>30</v>
      </c>
      <c r="J121" s="23">
        <v>7000</v>
      </c>
      <c r="K121" s="23">
        <v>12</v>
      </c>
      <c r="L121" s="23">
        <v>3</v>
      </c>
      <c r="M121" s="23" t="s">
        <v>160</v>
      </c>
      <c r="N121" s="23">
        <v>1</v>
      </c>
      <c r="O121" s="23" t="s">
        <v>190</v>
      </c>
      <c r="P121" s="23">
        <v>1</v>
      </c>
      <c r="Q121" s="23" t="s">
        <v>190</v>
      </c>
      <c r="R121" s="23">
        <v>0</v>
      </c>
      <c r="S121" s="26">
        <v>5.4221323424393049</v>
      </c>
    </row>
    <row r="122" spans="1:19">
      <c r="A122" s="23" t="s">
        <v>91</v>
      </c>
      <c r="B122" s="23" t="s">
        <v>82</v>
      </c>
      <c r="C122" s="23" t="s">
        <v>22</v>
      </c>
      <c r="D122" s="23" t="s">
        <v>164</v>
      </c>
      <c r="E122" s="23">
        <v>2</v>
      </c>
      <c r="F122" s="23" t="s">
        <v>58</v>
      </c>
      <c r="G122" s="23" t="s">
        <v>156</v>
      </c>
      <c r="H122" s="23">
        <v>1</v>
      </c>
      <c r="I122" s="23">
        <v>30</v>
      </c>
      <c r="J122" s="23">
        <v>7000</v>
      </c>
      <c r="K122" s="23">
        <v>12</v>
      </c>
      <c r="L122" s="23">
        <v>2</v>
      </c>
      <c r="M122" s="23" t="s">
        <v>161</v>
      </c>
      <c r="N122" s="23">
        <v>0</v>
      </c>
      <c r="P122" s="23">
        <v>0</v>
      </c>
      <c r="S122" s="23"/>
    </row>
    <row r="123" spans="1:19">
      <c r="A123" s="23" t="s">
        <v>91</v>
      </c>
      <c r="B123" s="23" t="s">
        <v>82</v>
      </c>
      <c r="C123" s="23" t="s">
        <v>22</v>
      </c>
      <c r="D123" s="23" t="s">
        <v>164</v>
      </c>
      <c r="E123" s="23">
        <v>2</v>
      </c>
      <c r="F123" s="23" t="s">
        <v>58</v>
      </c>
      <c r="G123" s="23" t="s">
        <v>157</v>
      </c>
      <c r="H123" s="23">
        <v>2</v>
      </c>
      <c r="I123" s="23">
        <v>30</v>
      </c>
      <c r="J123" s="23">
        <v>7000</v>
      </c>
      <c r="K123" s="23">
        <v>12</v>
      </c>
      <c r="L123" s="23">
        <v>2</v>
      </c>
      <c r="M123" s="23" t="s">
        <v>160</v>
      </c>
      <c r="N123" s="23">
        <v>0</v>
      </c>
      <c r="P123" s="23">
        <v>0</v>
      </c>
      <c r="S123" s="23"/>
    </row>
    <row r="124" spans="1:19">
      <c r="A124" s="23" t="s">
        <v>91</v>
      </c>
      <c r="B124" s="23" t="s">
        <v>82</v>
      </c>
      <c r="C124" s="23" t="s">
        <v>22</v>
      </c>
      <c r="D124" s="23" t="s">
        <v>164</v>
      </c>
      <c r="E124" s="23">
        <v>2</v>
      </c>
      <c r="F124" s="23" t="s">
        <v>58</v>
      </c>
      <c r="G124" s="23" t="s">
        <v>153</v>
      </c>
      <c r="H124" s="23">
        <v>3</v>
      </c>
      <c r="I124" s="23">
        <v>30</v>
      </c>
      <c r="J124" s="23">
        <v>7000</v>
      </c>
      <c r="K124" s="23">
        <v>12</v>
      </c>
      <c r="L124" s="23">
        <v>2</v>
      </c>
      <c r="M124" s="23" t="s">
        <v>161</v>
      </c>
      <c r="N124" s="23">
        <v>0</v>
      </c>
      <c r="P124" s="23">
        <v>0</v>
      </c>
      <c r="S124" s="23"/>
    </row>
    <row r="125" spans="1:19">
      <c r="A125" s="23" t="s">
        <v>91</v>
      </c>
      <c r="B125" s="23" t="s">
        <v>82</v>
      </c>
      <c r="C125" s="23" t="s">
        <v>22</v>
      </c>
      <c r="D125" s="23" t="s">
        <v>164</v>
      </c>
      <c r="E125" s="23">
        <v>2</v>
      </c>
      <c r="F125" s="23" t="s">
        <v>58</v>
      </c>
      <c r="G125" s="23" t="s">
        <v>158</v>
      </c>
      <c r="H125" s="23">
        <v>4</v>
      </c>
      <c r="I125" s="23">
        <v>30</v>
      </c>
      <c r="J125" s="23">
        <v>7000</v>
      </c>
      <c r="K125" s="23">
        <v>12</v>
      </c>
      <c r="L125" s="23">
        <v>2</v>
      </c>
      <c r="M125" s="23" t="s">
        <v>161</v>
      </c>
      <c r="N125" s="23">
        <v>0</v>
      </c>
      <c r="P125" s="23">
        <v>0</v>
      </c>
      <c r="S125" s="23"/>
    </row>
    <row r="126" spans="1:19">
      <c r="A126" s="23" t="s">
        <v>91</v>
      </c>
      <c r="B126" s="23" t="s">
        <v>82</v>
      </c>
      <c r="C126" s="23" t="s">
        <v>22</v>
      </c>
      <c r="D126" s="23" t="s">
        <v>164</v>
      </c>
      <c r="E126" s="23">
        <v>2</v>
      </c>
      <c r="F126" s="23" t="s">
        <v>58</v>
      </c>
      <c r="G126" s="23" t="s">
        <v>155</v>
      </c>
      <c r="H126" s="23">
        <v>5</v>
      </c>
      <c r="I126" s="23">
        <v>30</v>
      </c>
      <c r="J126" s="23">
        <v>7000</v>
      </c>
      <c r="K126" s="23">
        <v>12</v>
      </c>
      <c r="L126" s="23">
        <v>2</v>
      </c>
      <c r="M126" s="23" t="s">
        <v>160</v>
      </c>
      <c r="N126" s="23">
        <v>0</v>
      </c>
      <c r="P126" s="23">
        <v>0</v>
      </c>
      <c r="S126" s="26"/>
    </row>
    <row r="127" spans="1:19">
      <c r="A127" s="23" t="s">
        <v>91</v>
      </c>
      <c r="B127" s="23" t="s">
        <v>82</v>
      </c>
      <c r="C127" s="23" t="s">
        <v>22</v>
      </c>
      <c r="D127" s="23" t="s">
        <v>164</v>
      </c>
      <c r="E127" s="23">
        <v>2</v>
      </c>
      <c r="F127" s="23" t="s">
        <v>58</v>
      </c>
      <c r="G127" s="23" t="s">
        <v>154</v>
      </c>
      <c r="H127" s="23">
        <v>6</v>
      </c>
      <c r="I127" s="23">
        <v>30</v>
      </c>
      <c r="J127" s="23">
        <v>7000</v>
      </c>
      <c r="K127" s="23">
        <v>12</v>
      </c>
      <c r="L127" s="23">
        <v>2</v>
      </c>
      <c r="M127" s="23" t="s">
        <v>160</v>
      </c>
      <c r="N127" s="23">
        <v>1</v>
      </c>
      <c r="O127" s="23" t="s">
        <v>190</v>
      </c>
      <c r="P127" s="23">
        <v>1</v>
      </c>
      <c r="Q127" s="23" t="s">
        <v>190</v>
      </c>
      <c r="R127" s="23">
        <v>0</v>
      </c>
      <c r="S127" s="26">
        <v>3.1057198144205258</v>
      </c>
    </row>
    <row r="128" spans="1:19">
      <c r="A128" s="23" t="s">
        <v>31</v>
      </c>
      <c r="B128" s="23" t="s">
        <v>82</v>
      </c>
      <c r="C128" s="23" t="s">
        <v>22</v>
      </c>
      <c r="D128" s="23" t="s">
        <v>174</v>
      </c>
      <c r="E128" s="23">
        <v>1</v>
      </c>
      <c r="F128" s="23" t="s">
        <v>50</v>
      </c>
      <c r="G128" s="23" t="s">
        <v>147</v>
      </c>
      <c r="H128" s="23">
        <v>1</v>
      </c>
      <c r="I128" s="23">
        <v>46</v>
      </c>
      <c r="J128" s="23">
        <v>7000</v>
      </c>
      <c r="K128" s="23">
        <v>25</v>
      </c>
      <c r="L128" s="23">
        <v>1</v>
      </c>
      <c r="M128" s="23" t="s">
        <v>160</v>
      </c>
      <c r="N128" s="23">
        <v>0</v>
      </c>
      <c r="P128" s="23">
        <v>0</v>
      </c>
      <c r="S128" s="23"/>
    </row>
    <row r="129" spans="1:19">
      <c r="A129" s="23" t="s">
        <v>31</v>
      </c>
      <c r="B129" s="23" t="s">
        <v>82</v>
      </c>
      <c r="C129" s="23" t="s">
        <v>22</v>
      </c>
      <c r="D129" s="23" t="s">
        <v>174</v>
      </c>
      <c r="E129" s="23">
        <v>1</v>
      </c>
      <c r="F129" s="23" t="s">
        <v>50</v>
      </c>
      <c r="G129" s="23" t="s">
        <v>148</v>
      </c>
      <c r="H129" s="23">
        <v>2</v>
      </c>
      <c r="I129" s="23">
        <v>46</v>
      </c>
      <c r="J129" s="23">
        <v>7000</v>
      </c>
      <c r="K129" s="23">
        <v>25</v>
      </c>
      <c r="L129" s="23">
        <v>1</v>
      </c>
      <c r="M129" s="23" t="s">
        <v>161</v>
      </c>
      <c r="N129" s="23">
        <v>0</v>
      </c>
      <c r="P129" s="23">
        <v>0</v>
      </c>
      <c r="S129" s="23"/>
    </row>
    <row r="130" spans="1:19">
      <c r="A130" s="23" t="s">
        <v>92</v>
      </c>
      <c r="B130" s="23" t="s">
        <v>82</v>
      </c>
      <c r="C130" s="23" t="s">
        <v>22</v>
      </c>
      <c r="D130" s="23" t="s">
        <v>165</v>
      </c>
      <c r="E130" s="23">
        <v>1</v>
      </c>
      <c r="F130" s="23" t="s">
        <v>50</v>
      </c>
      <c r="G130" s="23" t="s">
        <v>149</v>
      </c>
      <c r="H130" s="23">
        <v>3</v>
      </c>
      <c r="I130" s="23">
        <v>46</v>
      </c>
      <c r="J130" s="23">
        <v>7000</v>
      </c>
      <c r="K130" s="23">
        <v>25</v>
      </c>
      <c r="L130" s="23">
        <v>1</v>
      </c>
      <c r="M130" s="23" t="s">
        <v>160</v>
      </c>
      <c r="N130" s="23">
        <v>0</v>
      </c>
      <c r="P130" s="23">
        <v>0</v>
      </c>
      <c r="S130" s="23"/>
    </row>
    <row r="131" spans="1:19">
      <c r="A131" s="23" t="s">
        <v>92</v>
      </c>
      <c r="B131" s="23" t="s">
        <v>82</v>
      </c>
      <c r="C131" s="23" t="s">
        <v>22</v>
      </c>
      <c r="D131" s="23" t="s">
        <v>165</v>
      </c>
      <c r="E131" s="23">
        <v>1</v>
      </c>
      <c r="F131" s="23" t="s">
        <v>50</v>
      </c>
      <c r="G131" s="23" t="s">
        <v>150</v>
      </c>
      <c r="H131" s="23">
        <v>4</v>
      </c>
      <c r="I131" s="23">
        <v>46</v>
      </c>
      <c r="J131" s="23">
        <v>7000</v>
      </c>
      <c r="K131" s="23">
        <v>25</v>
      </c>
      <c r="L131" s="23">
        <v>1</v>
      </c>
      <c r="M131" s="23" t="s">
        <v>161</v>
      </c>
      <c r="N131" s="23">
        <v>0</v>
      </c>
      <c r="P131" s="23">
        <v>0</v>
      </c>
      <c r="S131" s="23"/>
    </row>
    <row r="132" spans="1:19">
      <c r="A132" s="23" t="s">
        <v>92</v>
      </c>
      <c r="B132" s="23" t="s">
        <v>82</v>
      </c>
      <c r="C132" s="23" t="s">
        <v>22</v>
      </c>
      <c r="D132" s="23" t="s">
        <v>165</v>
      </c>
      <c r="E132" s="23">
        <v>1</v>
      </c>
      <c r="F132" s="23" t="s">
        <v>50</v>
      </c>
      <c r="G132" s="23" t="s">
        <v>151</v>
      </c>
      <c r="H132" s="23">
        <v>5</v>
      </c>
      <c r="I132" s="23">
        <v>46</v>
      </c>
      <c r="J132" s="23">
        <v>7000</v>
      </c>
      <c r="K132" s="23">
        <v>25</v>
      </c>
      <c r="L132" s="23">
        <v>1</v>
      </c>
      <c r="M132" s="23" t="s">
        <v>161</v>
      </c>
      <c r="N132" s="23">
        <v>0</v>
      </c>
      <c r="P132" s="23">
        <v>0</v>
      </c>
      <c r="S132" s="23"/>
    </row>
    <row r="133" spans="1:19">
      <c r="A133" s="23" t="s">
        <v>92</v>
      </c>
      <c r="B133" s="23" t="s">
        <v>82</v>
      </c>
      <c r="C133" s="23" t="s">
        <v>22</v>
      </c>
      <c r="D133" s="23" t="s">
        <v>165</v>
      </c>
      <c r="E133" s="23">
        <v>1</v>
      </c>
      <c r="F133" s="23" t="s">
        <v>50</v>
      </c>
      <c r="G133" s="23" t="s">
        <v>152</v>
      </c>
      <c r="H133" s="23">
        <v>6</v>
      </c>
      <c r="I133" s="23">
        <v>46</v>
      </c>
      <c r="J133" s="23">
        <v>7000</v>
      </c>
      <c r="K133" s="23">
        <v>25</v>
      </c>
      <c r="L133" s="23">
        <v>1</v>
      </c>
      <c r="M133" s="23" t="s">
        <v>160</v>
      </c>
      <c r="N133" s="23">
        <v>1</v>
      </c>
      <c r="O133" s="23" t="s">
        <v>193</v>
      </c>
      <c r="P133" s="23">
        <v>1</v>
      </c>
      <c r="Q133" s="23" t="s">
        <v>193</v>
      </c>
      <c r="R133" s="23">
        <v>0</v>
      </c>
      <c r="S133" s="23">
        <v>3.7791755110137868</v>
      </c>
    </row>
    <row r="134" spans="1:19">
      <c r="A134" s="23" t="s">
        <v>92</v>
      </c>
      <c r="B134" s="23" t="s">
        <v>82</v>
      </c>
      <c r="C134" s="23" t="s">
        <v>14</v>
      </c>
      <c r="D134" s="23" t="s">
        <v>165</v>
      </c>
      <c r="E134" s="23">
        <v>3</v>
      </c>
      <c r="F134" s="23" t="s">
        <v>52</v>
      </c>
      <c r="G134" s="23" t="s">
        <v>153</v>
      </c>
      <c r="H134" s="23">
        <v>1</v>
      </c>
      <c r="I134" s="23">
        <v>46</v>
      </c>
      <c r="J134" s="23">
        <v>7000</v>
      </c>
      <c r="K134" s="23">
        <v>25</v>
      </c>
      <c r="L134" s="23">
        <v>3</v>
      </c>
      <c r="M134" s="23" t="s">
        <v>160</v>
      </c>
      <c r="N134" s="23">
        <v>0</v>
      </c>
      <c r="P134" s="23">
        <v>0</v>
      </c>
      <c r="S134" s="23"/>
    </row>
    <row r="135" spans="1:19">
      <c r="A135" s="23" t="s">
        <v>92</v>
      </c>
      <c r="B135" s="23" t="s">
        <v>82</v>
      </c>
      <c r="C135" s="23" t="s">
        <v>14</v>
      </c>
      <c r="D135" s="23" t="s">
        <v>165</v>
      </c>
      <c r="E135" s="23">
        <v>3</v>
      </c>
      <c r="F135" s="23" t="s">
        <v>52</v>
      </c>
      <c r="G135" s="23" t="s">
        <v>154</v>
      </c>
      <c r="H135" s="23">
        <v>2</v>
      </c>
      <c r="I135" s="23">
        <v>46</v>
      </c>
      <c r="J135" s="23">
        <v>7000</v>
      </c>
      <c r="K135" s="23">
        <v>25</v>
      </c>
      <c r="L135" s="23">
        <v>3</v>
      </c>
      <c r="M135" s="23" t="s">
        <v>161</v>
      </c>
      <c r="N135" s="23">
        <v>0</v>
      </c>
      <c r="P135" s="23">
        <v>0</v>
      </c>
      <c r="S135" s="23"/>
    </row>
    <row r="136" spans="1:19">
      <c r="A136" s="23" t="s">
        <v>92</v>
      </c>
      <c r="B136" s="23" t="s">
        <v>82</v>
      </c>
      <c r="C136" s="23" t="s">
        <v>14</v>
      </c>
      <c r="D136" s="23" t="s">
        <v>165</v>
      </c>
      <c r="E136" s="23">
        <v>3</v>
      </c>
      <c r="F136" s="23" t="s">
        <v>51</v>
      </c>
      <c r="G136" s="23" t="s">
        <v>155</v>
      </c>
      <c r="H136" s="23">
        <v>3</v>
      </c>
      <c r="I136" s="23">
        <v>46</v>
      </c>
      <c r="J136" s="23">
        <v>7000</v>
      </c>
      <c r="K136" s="23">
        <v>25</v>
      </c>
      <c r="L136" s="23">
        <v>3</v>
      </c>
      <c r="M136" s="23" t="s">
        <v>161</v>
      </c>
      <c r="N136" s="23">
        <v>0</v>
      </c>
      <c r="P136" s="23">
        <v>0</v>
      </c>
      <c r="S136" s="23"/>
    </row>
    <row r="137" spans="1:19">
      <c r="A137" s="23" t="s">
        <v>92</v>
      </c>
      <c r="B137" s="23" t="s">
        <v>82</v>
      </c>
      <c r="C137" s="23" t="s">
        <v>14</v>
      </c>
      <c r="D137" s="23" t="s">
        <v>165</v>
      </c>
      <c r="E137" s="23">
        <v>3</v>
      </c>
      <c r="F137" s="23" t="s">
        <v>51</v>
      </c>
      <c r="G137" s="23" t="s">
        <v>156</v>
      </c>
      <c r="H137" s="23">
        <v>4</v>
      </c>
      <c r="I137" s="23">
        <v>46</v>
      </c>
      <c r="J137" s="23">
        <v>7000</v>
      </c>
      <c r="K137" s="23">
        <v>25</v>
      </c>
      <c r="L137" s="23">
        <v>3</v>
      </c>
      <c r="M137" s="23" t="s">
        <v>160</v>
      </c>
      <c r="N137" s="23">
        <v>0</v>
      </c>
      <c r="P137" s="23">
        <v>0</v>
      </c>
      <c r="S137" s="23"/>
    </row>
    <row r="138" spans="1:19">
      <c r="A138" s="23" t="s">
        <v>92</v>
      </c>
      <c r="B138" s="23" t="s">
        <v>82</v>
      </c>
      <c r="C138" s="23" t="s">
        <v>14</v>
      </c>
      <c r="D138" s="23" t="s">
        <v>165</v>
      </c>
      <c r="E138" s="23">
        <v>3</v>
      </c>
      <c r="F138" s="23" t="s">
        <v>51</v>
      </c>
      <c r="G138" s="23" t="s">
        <v>157</v>
      </c>
      <c r="H138" s="23">
        <v>5</v>
      </c>
      <c r="I138" s="23">
        <v>46</v>
      </c>
      <c r="J138" s="23">
        <v>7000</v>
      </c>
      <c r="K138" s="23">
        <v>25</v>
      </c>
      <c r="L138" s="23">
        <v>3</v>
      </c>
      <c r="M138" s="23" t="s">
        <v>161</v>
      </c>
      <c r="N138" s="23">
        <v>0</v>
      </c>
      <c r="P138" s="23">
        <v>0</v>
      </c>
      <c r="S138" s="26"/>
    </row>
    <row r="139" spans="1:19">
      <c r="A139" s="27" t="s">
        <v>92</v>
      </c>
      <c r="B139" s="27" t="s">
        <v>82</v>
      </c>
      <c r="C139" s="27" t="s">
        <v>14</v>
      </c>
      <c r="D139" s="27" t="s">
        <v>165</v>
      </c>
      <c r="E139" s="27">
        <v>3</v>
      </c>
      <c r="F139" s="27" t="s">
        <v>51</v>
      </c>
      <c r="G139" s="27" t="s">
        <v>158</v>
      </c>
      <c r="H139" s="27">
        <v>6</v>
      </c>
      <c r="I139" s="23">
        <v>46</v>
      </c>
      <c r="J139" s="23">
        <v>7000</v>
      </c>
      <c r="K139" s="23">
        <v>25</v>
      </c>
      <c r="L139" s="27">
        <v>3</v>
      </c>
      <c r="M139" s="27" t="s">
        <v>160</v>
      </c>
      <c r="N139" s="27">
        <v>1</v>
      </c>
      <c r="O139" s="27" t="s">
        <v>191</v>
      </c>
      <c r="P139" s="27">
        <v>1</v>
      </c>
      <c r="Q139" s="27"/>
      <c r="R139" s="27">
        <v>0</v>
      </c>
      <c r="S139" s="27">
        <v>3.1330046519999999</v>
      </c>
    </row>
    <row r="140" spans="1:19">
      <c r="A140" s="23" t="s">
        <v>31</v>
      </c>
      <c r="B140" s="23" t="s">
        <v>82</v>
      </c>
      <c r="C140" s="23" t="s">
        <v>21</v>
      </c>
      <c r="D140" s="23" t="s">
        <v>165</v>
      </c>
      <c r="E140" s="23">
        <v>2</v>
      </c>
      <c r="F140" s="23" t="s">
        <v>58</v>
      </c>
      <c r="G140" s="23" t="s">
        <v>156</v>
      </c>
      <c r="H140" s="23">
        <v>1</v>
      </c>
      <c r="I140" s="23">
        <v>46</v>
      </c>
      <c r="J140" s="23">
        <v>7000</v>
      </c>
      <c r="K140" s="23">
        <v>25</v>
      </c>
      <c r="L140" s="23">
        <v>2</v>
      </c>
      <c r="M140" s="23" t="s">
        <v>161</v>
      </c>
      <c r="N140" s="23">
        <v>0</v>
      </c>
      <c r="P140" s="23">
        <v>0</v>
      </c>
      <c r="S140" s="23"/>
    </row>
    <row r="141" spans="1:19">
      <c r="A141" s="23" t="s">
        <v>92</v>
      </c>
      <c r="B141" s="23" t="s">
        <v>82</v>
      </c>
      <c r="C141" s="23" t="s">
        <v>21</v>
      </c>
      <c r="D141" s="23" t="s">
        <v>165</v>
      </c>
      <c r="E141" s="23">
        <v>2</v>
      </c>
      <c r="F141" s="23" t="s">
        <v>58</v>
      </c>
      <c r="G141" s="23" t="s">
        <v>157</v>
      </c>
      <c r="H141" s="23">
        <v>2</v>
      </c>
      <c r="I141" s="23">
        <v>46</v>
      </c>
      <c r="J141" s="23">
        <v>7000</v>
      </c>
      <c r="K141" s="23">
        <v>25</v>
      </c>
      <c r="L141" s="23">
        <v>2</v>
      </c>
      <c r="M141" s="23" t="s">
        <v>160</v>
      </c>
      <c r="N141" s="23">
        <v>0</v>
      </c>
      <c r="P141" s="23">
        <v>0</v>
      </c>
      <c r="S141" s="23"/>
    </row>
    <row r="142" spans="1:19">
      <c r="A142" s="23" t="s">
        <v>92</v>
      </c>
      <c r="B142" s="23" t="s">
        <v>82</v>
      </c>
      <c r="C142" s="23" t="s">
        <v>21</v>
      </c>
      <c r="D142" s="23" t="s">
        <v>165</v>
      </c>
      <c r="E142" s="23">
        <v>2</v>
      </c>
      <c r="F142" s="23" t="s">
        <v>58</v>
      </c>
      <c r="G142" s="23" t="s">
        <v>153</v>
      </c>
      <c r="H142" s="23">
        <v>3</v>
      </c>
      <c r="I142" s="23">
        <v>46</v>
      </c>
      <c r="J142" s="23">
        <v>7000</v>
      </c>
      <c r="K142" s="23">
        <v>25</v>
      </c>
      <c r="L142" s="23">
        <v>2</v>
      </c>
      <c r="M142" s="23" t="s">
        <v>161</v>
      </c>
      <c r="N142" s="23">
        <v>0</v>
      </c>
      <c r="P142" s="23">
        <v>0</v>
      </c>
      <c r="S142" s="23"/>
    </row>
    <row r="143" spans="1:19">
      <c r="A143" s="23" t="s">
        <v>92</v>
      </c>
      <c r="B143" s="23" t="s">
        <v>82</v>
      </c>
      <c r="C143" s="23" t="s">
        <v>21</v>
      </c>
      <c r="D143" s="23" t="s">
        <v>165</v>
      </c>
      <c r="E143" s="23">
        <v>2</v>
      </c>
      <c r="F143" s="23" t="s">
        <v>58</v>
      </c>
      <c r="G143" s="23" t="s">
        <v>158</v>
      </c>
      <c r="H143" s="23">
        <v>4</v>
      </c>
      <c r="I143" s="23">
        <v>46</v>
      </c>
      <c r="J143" s="23">
        <v>7000</v>
      </c>
      <c r="K143" s="23">
        <v>25</v>
      </c>
      <c r="L143" s="23">
        <v>2</v>
      </c>
      <c r="M143" s="23" t="s">
        <v>161</v>
      </c>
      <c r="N143" s="23">
        <v>0</v>
      </c>
      <c r="P143" s="23">
        <v>0</v>
      </c>
      <c r="S143" s="23"/>
    </row>
    <row r="144" spans="1:19">
      <c r="A144" s="23" t="s">
        <v>92</v>
      </c>
      <c r="B144" s="23" t="s">
        <v>82</v>
      </c>
      <c r="C144" s="23" t="s">
        <v>21</v>
      </c>
      <c r="D144" s="23" t="s">
        <v>165</v>
      </c>
      <c r="E144" s="23">
        <v>2</v>
      </c>
      <c r="F144" s="23" t="s">
        <v>58</v>
      </c>
      <c r="G144" s="23" t="s">
        <v>155</v>
      </c>
      <c r="H144" s="23">
        <v>5</v>
      </c>
      <c r="I144" s="23">
        <v>46</v>
      </c>
      <c r="J144" s="23">
        <v>7000</v>
      </c>
      <c r="K144" s="23">
        <v>25</v>
      </c>
      <c r="L144" s="23">
        <v>2</v>
      </c>
      <c r="M144" s="23" t="s">
        <v>160</v>
      </c>
      <c r="N144" s="23">
        <v>0</v>
      </c>
      <c r="P144" s="23">
        <v>0</v>
      </c>
      <c r="S144" s="26"/>
    </row>
    <row r="145" spans="1:19">
      <c r="A145" s="23" t="s">
        <v>92</v>
      </c>
      <c r="B145" s="23" t="s">
        <v>82</v>
      </c>
      <c r="C145" s="23" t="s">
        <v>21</v>
      </c>
      <c r="D145" s="23" t="s">
        <v>165</v>
      </c>
      <c r="E145" s="23">
        <v>2</v>
      </c>
      <c r="F145" s="23" t="s">
        <v>58</v>
      </c>
      <c r="G145" s="23" t="s">
        <v>154</v>
      </c>
      <c r="H145" s="23">
        <v>6</v>
      </c>
      <c r="I145" s="23">
        <v>46</v>
      </c>
      <c r="J145" s="23">
        <v>7000</v>
      </c>
      <c r="K145" s="23">
        <v>25</v>
      </c>
      <c r="L145" s="23">
        <v>2</v>
      </c>
      <c r="M145" s="23" t="s">
        <v>160</v>
      </c>
      <c r="N145" s="23">
        <v>1</v>
      </c>
      <c r="O145" s="23" t="s">
        <v>193</v>
      </c>
      <c r="P145" s="23">
        <v>1</v>
      </c>
      <c r="Q145" s="23" t="s">
        <v>193</v>
      </c>
      <c r="R145" s="23">
        <v>1</v>
      </c>
      <c r="S145" s="26">
        <v>1.5202151486920159</v>
      </c>
    </row>
    <row r="146" spans="1:19">
      <c r="A146" s="23" t="s">
        <v>32</v>
      </c>
      <c r="B146" s="23" t="s">
        <v>82</v>
      </c>
      <c r="C146" s="23" t="s">
        <v>21</v>
      </c>
      <c r="D146" s="23" t="s">
        <v>175</v>
      </c>
      <c r="E146" s="23">
        <v>1</v>
      </c>
      <c r="F146" s="23" t="s">
        <v>50</v>
      </c>
      <c r="G146" s="23" t="s">
        <v>147</v>
      </c>
      <c r="H146" s="23">
        <v>1</v>
      </c>
      <c r="I146" s="23">
        <v>35</v>
      </c>
      <c r="J146" s="23">
        <v>5000</v>
      </c>
      <c r="K146" s="23">
        <v>17</v>
      </c>
      <c r="L146" s="23">
        <v>1</v>
      </c>
      <c r="M146" s="23" t="s">
        <v>160</v>
      </c>
      <c r="N146" s="23">
        <v>0</v>
      </c>
      <c r="P146" s="23">
        <v>0</v>
      </c>
      <c r="S146" s="23"/>
    </row>
    <row r="147" spans="1:19">
      <c r="A147" s="23" t="s">
        <v>32</v>
      </c>
      <c r="B147" s="23" t="s">
        <v>82</v>
      </c>
      <c r="C147" s="23" t="s">
        <v>21</v>
      </c>
      <c r="D147" s="23" t="s">
        <v>175</v>
      </c>
      <c r="E147" s="23">
        <v>1</v>
      </c>
      <c r="F147" s="23" t="s">
        <v>50</v>
      </c>
      <c r="G147" s="23" t="s">
        <v>148</v>
      </c>
      <c r="H147" s="23">
        <v>2</v>
      </c>
      <c r="I147" s="23">
        <v>35</v>
      </c>
      <c r="J147" s="23">
        <v>5000</v>
      </c>
      <c r="K147" s="23">
        <v>17</v>
      </c>
      <c r="L147" s="23">
        <v>1</v>
      </c>
      <c r="M147" s="23" t="s">
        <v>161</v>
      </c>
      <c r="N147" s="23">
        <v>0</v>
      </c>
      <c r="P147" s="23">
        <v>0</v>
      </c>
      <c r="S147" s="23"/>
    </row>
    <row r="148" spans="1:19" s="29" customFormat="1">
      <c r="A148" s="23" t="s">
        <v>93</v>
      </c>
      <c r="B148" s="23" t="s">
        <v>82</v>
      </c>
      <c r="C148" s="23" t="s">
        <v>21</v>
      </c>
      <c r="D148" s="23" t="s">
        <v>166</v>
      </c>
      <c r="E148" s="23">
        <v>1</v>
      </c>
      <c r="F148" s="23" t="s">
        <v>50</v>
      </c>
      <c r="G148" s="23" t="s">
        <v>149</v>
      </c>
      <c r="H148" s="23">
        <v>3</v>
      </c>
      <c r="I148" s="23">
        <v>35</v>
      </c>
      <c r="J148" s="23">
        <v>5000</v>
      </c>
      <c r="K148" s="23">
        <v>17</v>
      </c>
      <c r="L148" s="23">
        <v>1</v>
      </c>
      <c r="M148" s="23" t="s">
        <v>160</v>
      </c>
      <c r="N148" s="23">
        <v>0</v>
      </c>
      <c r="O148" s="23"/>
      <c r="P148" s="23">
        <v>0</v>
      </c>
      <c r="Q148" s="23"/>
      <c r="R148" s="23"/>
      <c r="S148" s="23"/>
    </row>
    <row r="149" spans="1:19">
      <c r="A149" s="23" t="s">
        <v>93</v>
      </c>
      <c r="B149" s="23" t="s">
        <v>82</v>
      </c>
      <c r="C149" s="23" t="s">
        <v>21</v>
      </c>
      <c r="D149" s="23" t="s">
        <v>166</v>
      </c>
      <c r="E149" s="23">
        <v>1</v>
      </c>
      <c r="F149" s="23" t="s">
        <v>50</v>
      </c>
      <c r="G149" s="23" t="s">
        <v>150</v>
      </c>
      <c r="H149" s="23">
        <v>4</v>
      </c>
      <c r="I149" s="23">
        <v>35</v>
      </c>
      <c r="J149" s="23">
        <v>5000</v>
      </c>
      <c r="K149" s="23">
        <v>17</v>
      </c>
      <c r="L149" s="23">
        <v>1</v>
      </c>
      <c r="M149" s="23" t="s">
        <v>161</v>
      </c>
      <c r="N149" s="23">
        <v>0</v>
      </c>
      <c r="P149" s="23">
        <v>0</v>
      </c>
      <c r="S149" s="23"/>
    </row>
    <row r="150" spans="1:19">
      <c r="A150" s="23" t="s">
        <v>93</v>
      </c>
      <c r="B150" s="23" t="s">
        <v>82</v>
      </c>
      <c r="C150" s="23" t="s">
        <v>21</v>
      </c>
      <c r="D150" s="23" t="s">
        <v>166</v>
      </c>
      <c r="E150" s="23">
        <v>1</v>
      </c>
      <c r="F150" s="23" t="s">
        <v>50</v>
      </c>
      <c r="G150" s="23" t="s">
        <v>151</v>
      </c>
      <c r="H150" s="23">
        <v>5</v>
      </c>
      <c r="I150" s="23">
        <v>35</v>
      </c>
      <c r="J150" s="23">
        <v>5000</v>
      </c>
      <c r="K150" s="23">
        <v>17</v>
      </c>
      <c r="L150" s="23">
        <v>1</v>
      </c>
      <c r="M150" s="23" t="s">
        <v>161</v>
      </c>
      <c r="N150" s="23">
        <v>0</v>
      </c>
      <c r="P150" s="23">
        <v>0</v>
      </c>
      <c r="S150" s="23"/>
    </row>
    <row r="151" spans="1:19">
      <c r="A151" s="23" t="s">
        <v>93</v>
      </c>
      <c r="B151" s="23" t="s">
        <v>82</v>
      </c>
      <c r="C151" s="23" t="s">
        <v>21</v>
      </c>
      <c r="D151" s="23" t="s">
        <v>166</v>
      </c>
      <c r="E151" s="23">
        <v>1</v>
      </c>
      <c r="F151" s="23" t="s">
        <v>50</v>
      </c>
      <c r="G151" s="23" t="s">
        <v>152</v>
      </c>
      <c r="H151" s="23">
        <v>6</v>
      </c>
      <c r="I151" s="23">
        <v>35</v>
      </c>
      <c r="J151" s="23">
        <v>5000</v>
      </c>
      <c r="K151" s="23">
        <v>17</v>
      </c>
      <c r="L151" s="23">
        <v>1</v>
      </c>
      <c r="M151" s="23" t="s">
        <v>160</v>
      </c>
      <c r="N151" s="23">
        <v>1</v>
      </c>
      <c r="O151" s="23" t="s">
        <v>190</v>
      </c>
      <c r="P151" s="23">
        <v>1</v>
      </c>
      <c r="Q151" s="23" t="s">
        <v>190</v>
      </c>
      <c r="R151" s="23">
        <v>0</v>
      </c>
      <c r="S151" s="23">
        <v>4.5077070559717454</v>
      </c>
    </row>
    <row r="152" spans="1:19">
      <c r="A152" s="23" t="s">
        <v>93</v>
      </c>
      <c r="B152" s="23" t="s">
        <v>82</v>
      </c>
      <c r="C152" s="23" t="s">
        <v>22</v>
      </c>
      <c r="D152" s="23" t="s">
        <v>166</v>
      </c>
      <c r="E152" s="23">
        <v>3</v>
      </c>
      <c r="F152" s="23" t="s">
        <v>52</v>
      </c>
      <c r="G152" s="23" t="s">
        <v>153</v>
      </c>
      <c r="H152" s="23">
        <v>1</v>
      </c>
      <c r="I152" s="23">
        <v>35</v>
      </c>
      <c r="J152" s="23">
        <v>5000</v>
      </c>
      <c r="K152" s="23">
        <v>17</v>
      </c>
      <c r="L152" s="23">
        <v>3</v>
      </c>
      <c r="M152" s="23" t="s">
        <v>160</v>
      </c>
      <c r="N152" s="23">
        <v>0</v>
      </c>
      <c r="P152" s="23">
        <v>0</v>
      </c>
      <c r="S152" s="23"/>
    </row>
    <row r="153" spans="1:19">
      <c r="A153" s="23" t="s">
        <v>93</v>
      </c>
      <c r="B153" s="23" t="s">
        <v>82</v>
      </c>
      <c r="C153" s="23" t="s">
        <v>22</v>
      </c>
      <c r="D153" s="23" t="s">
        <v>166</v>
      </c>
      <c r="E153" s="23">
        <v>3</v>
      </c>
      <c r="F153" s="23" t="s">
        <v>52</v>
      </c>
      <c r="G153" s="23" t="s">
        <v>154</v>
      </c>
      <c r="H153" s="23">
        <v>2</v>
      </c>
      <c r="I153" s="23">
        <v>35</v>
      </c>
      <c r="J153" s="23">
        <v>5000</v>
      </c>
      <c r="K153" s="23">
        <v>17</v>
      </c>
      <c r="L153" s="23">
        <v>3</v>
      </c>
      <c r="M153" s="23" t="s">
        <v>161</v>
      </c>
      <c r="N153" s="23">
        <v>0</v>
      </c>
      <c r="P153" s="23">
        <v>0</v>
      </c>
      <c r="S153" s="23"/>
    </row>
    <row r="154" spans="1:19">
      <c r="A154" s="23" t="s">
        <v>93</v>
      </c>
      <c r="B154" s="23" t="s">
        <v>82</v>
      </c>
      <c r="C154" s="23" t="s">
        <v>22</v>
      </c>
      <c r="D154" s="23" t="s">
        <v>166</v>
      </c>
      <c r="E154" s="23">
        <v>3</v>
      </c>
      <c r="F154" s="23" t="s">
        <v>51</v>
      </c>
      <c r="G154" s="23" t="s">
        <v>155</v>
      </c>
      <c r="H154" s="23">
        <v>3</v>
      </c>
      <c r="I154" s="23">
        <v>35</v>
      </c>
      <c r="J154" s="23">
        <v>5000</v>
      </c>
      <c r="K154" s="23">
        <v>17</v>
      </c>
      <c r="L154" s="23">
        <v>3</v>
      </c>
      <c r="M154" s="23" t="s">
        <v>161</v>
      </c>
      <c r="N154" s="23">
        <v>0</v>
      </c>
      <c r="P154" s="23">
        <v>0</v>
      </c>
      <c r="S154" s="23"/>
    </row>
    <row r="155" spans="1:19">
      <c r="A155" s="23" t="s">
        <v>93</v>
      </c>
      <c r="B155" s="23" t="s">
        <v>82</v>
      </c>
      <c r="C155" s="23" t="s">
        <v>22</v>
      </c>
      <c r="D155" s="23" t="s">
        <v>166</v>
      </c>
      <c r="E155" s="23">
        <v>3</v>
      </c>
      <c r="F155" s="23" t="s">
        <v>51</v>
      </c>
      <c r="G155" s="23" t="s">
        <v>156</v>
      </c>
      <c r="H155" s="23">
        <v>4</v>
      </c>
      <c r="I155" s="23">
        <v>35</v>
      </c>
      <c r="J155" s="23">
        <v>5000</v>
      </c>
      <c r="K155" s="23">
        <v>17</v>
      </c>
      <c r="L155" s="23">
        <v>3</v>
      </c>
      <c r="M155" s="23" t="s">
        <v>160</v>
      </c>
      <c r="N155" s="23">
        <v>0</v>
      </c>
      <c r="P155" s="23">
        <v>0</v>
      </c>
      <c r="S155" s="23"/>
    </row>
    <row r="156" spans="1:19">
      <c r="A156" s="23" t="s">
        <v>93</v>
      </c>
      <c r="B156" s="23" t="s">
        <v>82</v>
      </c>
      <c r="C156" s="23" t="s">
        <v>22</v>
      </c>
      <c r="D156" s="23" t="s">
        <v>166</v>
      </c>
      <c r="E156" s="23">
        <v>3</v>
      </c>
      <c r="F156" s="23" t="s">
        <v>51</v>
      </c>
      <c r="G156" s="23" t="s">
        <v>157</v>
      </c>
      <c r="H156" s="23">
        <v>5</v>
      </c>
      <c r="I156" s="23">
        <v>35</v>
      </c>
      <c r="J156" s="23">
        <v>5000</v>
      </c>
      <c r="K156" s="23">
        <v>17</v>
      </c>
      <c r="L156" s="23">
        <v>3</v>
      </c>
      <c r="M156" s="23" t="s">
        <v>161</v>
      </c>
      <c r="N156" s="23">
        <v>0</v>
      </c>
      <c r="P156" s="23">
        <v>0</v>
      </c>
      <c r="S156" s="26"/>
    </row>
    <row r="157" spans="1:19">
      <c r="A157" s="23" t="s">
        <v>93</v>
      </c>
      <c r="B157" s="23" t="s">
        <v>82</v>
      </c>
      <c r="C157" s="23" t="s">
        <v>22</v>
      </c>
      <c r="D157" s="23" t="s">
        <v>166</v>
      </c>
      <c r="E157" s="23">
        <v>3</v>
      </c>
      <c r="F157" s="23" t="s">
        <v>51</v>
      </c>
      <c r="G157" s="23" t="s">
        <v>158</v>
      </c>
      <c r="H157" s="23">
        <v>6</v>
      </c>
      <c r="I157" s="23">
        <v>35</v>
      </c>
      <c r="J157" s="23">
        <v>5000</v>
      </c>
      <c r="K157" s="23">
        <v>17</v>
      </c>
      <c r="L157" s="23">
        <v>3</v>
      </c>
      <c r="M157" s="23" t="s">
        <v>160</v>
      </c>
      <c r="N157" s="23">
        <v>1</v>
      </c>
      <c r="O157" s="23" t="s">
        <v>190</v>
      </c>
      <c r="P157" s="23">
        <v>1</v>
      </c>
      <c r="Q157" s="23" t="s">
        <v>190</v>
      </c>
      <c r="R157" s="23">
        <v>0</v>
      </c>
      <c r="S157" s="26">
        <v>5.4646338765712468</v>
      </c>
    </row>
    <row r="158" spans="1:19">
      <c r="A158" s="23" t="s">
        <v>93</v>
      </c>
      <c r="B158" s="23" t="s">
        <v>82</v>
      </c>
      <c r="C158" s="23" t="s">
        <v>14</v>
      </c>
      <c r="D158" s="23" t="s">
        <v>166</v>
      </c>
      <c r="E158" s="23">
        <v>2</v>
      </c>
      <c r="F158" s="23" t="s">
        <v>58</v>
      </c>
      <c r="G158" s="23" t="s">
        <v>156</v>
      </c>
      <c r="H158" s="23">
        <v>1</v>
      </c>
      <c r="I158" s="23">
        <v>35</v>
      </c>
      <c r="J158" s="23">
        <v>5000</v>
      </c>
      <c r="K158" s="23">
        <v>17</v>
      </c>
      <c r="L158" s="23">
        <v>2</v>
      </c>
      <c r="M158" s="23" t="s">
        <v>161</v>
      </c>
      <c r="N158" s="23">
        <v>0</v>
      </c>
      <c r="P158" s="23">
        <v>0</v>
      </c>
      <c r="S158" s="23"/>
    </row>
    <row r="159" spans="1:19">
      <c r="A159" s="23" t="s">
        <v>93</v>
      </c>
      <c r="B159" s="23" t="s">
        <v>82</v>
      </c>
      <c r="C159" s="23" t="s">
        <v>14</v>
      </c>
      <c r="D159" s="23" t="s">
        <v>166</v>
      </c>
      <c r="E159" s="23">
        <v>2</v>
      </c>
      <c r="F159" s="23" t="s">
        <v>58</v>
      </c>
      <c r="G159" s="23" t="s">
        <v>157</v>
      </c>
      <c r="H159" s="23">
        <v>2</v>
      </c>
      <c r="I159" s="23">
        <v>35</v>
      </c>
      <c r="J159" s="23">
        <v>5000</v>
      </c>
      <c r="K159" s="23">
        <v>17</v>
      </c>
      <c r="L159" s="23">
        <v>2</v>
      </c>
      <c r="M159" s="23" t="s">
        <v>160</v>
      </c>
      <c r="N159" s="23">
        <v>0</v>
      </c>
      <c r="P159" s="23">
        <v>0</v>
      </c>
      <c r="S159" s="23"/>
    </row>
    <row r="160" spans="1:19">
      <c r="A160" s="23" t="s">
        <v>93</v>
      </c>
      <c r="B160" s="23" t="s">
        <v>82</v>
      </c>
      <c r="C160" s="23" t="s">
        <v>14</v>
      </c>
      <c r="D160" s="23" t="s">
        <v>166</v>
      </c>
      <c r="E160" s="23">
        <v>2</v>
      </c>
      <c r="F160" s="23" t="s">
        <v>58</v>
      </c>
      <c r="G160" s="23" t="s">
        <v>153</v>
      </c>
      <c r="H160" s="23">
        <v>3</v>
      </c>
      <c r="I160" s="23">
        <v>35</v>
      </c>
      <c r="J160" s="23">
        <v>5000</v>
      </c>
      <c r="K160" s="23">
        <v>17</v>
      </c>
      <c r="L160" s="23">
        <v>2</v>
      </c>
      <c r="M160" s="23" t="s">
        <v>161</v>
      </c>
      <c r="N160" s="23">
        <v>0</v>
      </c>
      <c r="P160" s="23">
        <v>0</v>
      </c>
      <c r="S160" s="23"/>
    </row>
    <row r="161" spans="1:19">
      <c r="A161" s="23" t="s">
        <v>93</v>
      </c>
      <c r="B161" s="23" t="s">
        <v>82</v>
      </c>
      <c r="C161" s="23" t="s">
        <v>14</v>
      </c>
      <c r="D161" s="23" t="s">
        <v>166</v>
      </c>
      <c r="E161" s="23">
        <v>2</v>
      </c>
      <c r="F161" s="23" t="s">
        <v>58</v>
      </c>
      <c r="G161" s="23" t="s">
        <v>158</v>
      </c>
      <c r="H161" s="23">
        <v>4</v>
      </c>
      <c r="I161" s="23">
        <v>35</v>
      </c>
      <c r="J161" s="23">
        <v>5000</v>
      </c>
      <c r="K161" s="23">
        <v>17</v>
      </c>
      <c r="L161" s="23">
        <v>2</v>
      </c>
      <c r="M161" s="23" t="s">
        <v>161</v>
      </c>
      <c r="N161" s="23">
        <v>0</v>
      </c>
      <c r="P161" s="23">
        <v>0</v>
      </c>
      <c r="S161" s="23"/>
    </row>
    <row r="162" spans="1:19">
      <c r="A162" s="23" t="s">
        <v>93</v>
      </c>
      <c r="B162" s="23" t="s">
        <v>82</v>
      </c>
      <c r="C162" s="23" t="s">
        <v>14</v>
      </c>
      <c r="D162" s="23" t="s">
        <v>166</v>
      </c>
      <c r="E162" s="23">
        <v>2</v>
      </c>
      <c r="F162" s="23" t="s">
        <v>58</v>
      </c>
      <c r="G162" s="23" t="s">
        <v>155</v>
      </c>
      <c r="H162" s="23">
        <v>5</v>
      </c>
      <c r="I162" s="23">
        <v>35</v>
      </c>
      <c r="J162" s="23">
        <v>5000</v>
      </c>
      <c r="K162" s="23">
        <v>17</v>
      </c>
      <c r="L162" s="23">
        <v>2</v>
      </c>
      <c r="M162" s="23" t="s">
        <v>160</v>
      </c>
      <c r="N162" s="23">
        <v>0</v>
      </c>
      <c r="P162" s="23">
        <v>0</v>
      </c>
      <c r="S162" s="26"/>
    </row>
    <row r="163" spans="1:19">
      <c r="A163" s="23" t="s">
        <v>93</v>
      </c>
      <c r="B163" s="23" t="s">
        <v>82</v>
      </c>
      <c r="C163" s="23" t="s">
        <v>14</v>
      </c>
      <c r="D163" s="23" t="s">
        <v>166</v>
      </c>
      <c r="E163" s="23">
        <v>2</v>
      </c>
      <c r="F163" s="23" t="s">
        <v>58</v>
      </c>
      <c r="G163" s="23" t="s">
        <v>154</v>
      </c>
      <c r="H163" s="23">
        <v>6</v>
      </c>
      <c r="I163" s="23">
        <v>35</v>
      </c>
      <c r="J163" s="23">
        <v>5000</v>
      </c>
      <c r="K163" s="23">
        <v>17</v>
      </c>
      <c r="L163" s="23">
        <v>2</v>
      </c>
      <c r="M163" s="23" t="s">
        <v>160</v>
      </c>
      <c r="N163" s="23">
        <v>1</v>
      </c>
      <c r="O163" s="23" t="s">
        <v>190</v>
      </c>
      <c r="P163" s="23">
        <v>1</v>
      </c>
      <c r="R163" s="23">
        <v>0</v>
      </c>
      <c r="S163" s="26">
        <v>1.108371154015654</v>
      </c>
    </row>
    <row r="164" spans="1:19">
      <c r="A164" s="23" t="s">
        <v>34</v>
      </c>
      <c r="B164" s="23" t="s">
        <v>82</v>
      </c>
      <c r="C164" s="23" t="s">
        <v>21</v>
      </c>
      <c r="D164" s="23" t="s">
        <v>170</v>
      </c>
      <c r="E164" s="23">
        <v>1</v>
      </c>
      <c r="F164" s="23" t="s">
        <v>50</v>
      </c>
      <c r="G164" s="23" t="s">
        <v>147</v>
      </c>
      <c r="H164" s="23">
        <v>1</v>
      </c>
      <c r="I164" s="23">
        <v>42</v>
      </c>
      <c r="J164" s="23">
        <v>6000</v>
      </c>
      <c r="K164" s="23">
        <v>23</v>
      </c>
      <c r="L164" s="23">
        <v>1</v>
      </c>
      <c r="M164" s="23" t="s">
        <v>160</v>
      </c>
      <c r="N164" s="23">
        <v>0</v>
      </c>
      <c r="P164" s="23">
        <v>0</v>
      </c>
      <c r="S164" s="23"/>
    </row>
    <row r="165" spans="1:19">
      <c r="A165" s="23" t="s">
        <v>34</v>
      </c>
      <c r="B165" s="23" t="s">
        <v>82</v>
      </c>
      <c r="C165" s="23" t="s">
        <v>21</v>
      </c>
      <c r="D165" s="23" t="s">
        <v>170</v>
      </c>
      <c r="E165" s="23">
        <v>1</v>
      </c>
      <c r="F165" s="23" t="s">
        <v>50</v>
      </c>
      <c r="G165" s="23" t="s">
        <v>148</v>
      </c>
      <c r="H165" s="23">
        <v>2</v>
      </c>
      <c r="I165" s="23">
        <v>42</v>
      </c>
      <c r="J165" s="23">
        <v>6000</v>
      </c>
      <c r="K165" s="23">
        <v>23</v>
      </c>
      <c r="L165" s="23">
        <v>1</v>
      </c>
      <c r="M165" s="23" t="s">
        <v>161</v>
      </c>
      <c r="N165" s="23">
        <v>0</v>
      </c>
      <c r="P165" s="23">
        <v>0</v>
      </c>
      <c r="S165" s="23"/>
    </row>
    <row r="166" spans="1:19">
      <c r="A166" s="23" t="s">
        <v>94</v>
      </c>
      <c r="B166" s="23" t="s">
        <v>82</v>
      </c>
      <c r="C166" s="23" t="s">
        <v>21</v>
      </c>
      <c r="D166" s="23" t="s">
        <v>167</v>
      </c>
      <c r="E166" s="23">
        <v>1</v>
      </c>
      <c r="F166" s="23" t="s">
        <v>50</v>
      </c>
      <c r="G166" s="23" t="s">
        <v>149</v>
      </c>
      <c r="H166" s="23">
        <v>3</v>
      </c>
      <c r="I166" s="23">
        <v>42</v>
      </c>
      <c r="J166" s="23">
        <v>6000</v>
      </c>
      <c r="K166" s="23">
        <v>23</v>
      </c>
      <c r="L166" s="23">
        <v>1</v>
      </c>
      <c r="M166" s="23" t="s">
        <v>160</v>
      </c>
      <c r="N166" s="23">
        <v>0</v>
      </c>
      <c r="P166" s="23">
        <v>0</v>
      </c>
      <c r="S166" s="23"/>
    </row>
    <row r="167" spans="1:19">
      <c r="A167" s="23" t="s">
        <v>94</v>
      </c>
      <c r="B167" s="23" t="s">
        <v>82</v>
      </c>
      <c r="C167" s="23" t="s">
        <v>21</v>
      </c>
      <c r="D167" s="23" t="s">
        <v>167</v>
      </c>
      <c r="E167" s="23">
        <v>1</v>
      </c>
      <c r="F167" s="23" t="s">
        <v>50</v>
      </c>
      <c r="G167" s="23" t="s">
        <v>150</v>
      </c>
      <c r="H167" s="23">
        <v>4</v>
      </c>
      <c r="I167" s="23">
        <v>42</v>
      </c>
      <c r="J167" s="23">
        <v>6000</v>
      </c>
      <c r="K167" s="23">
        <v>23</v>
      </c>
      <c r="L167" s="23">
        <v>1</v>
      </c>
      <c r="M167" s="23" t="s">
        <v>161</v>
      </c>
      <c r="N167" s="23">
        <v>0</v>
      </c>
      <c r="P167" s="23">
        <v>0</v>
      </c>
      <c r="S167" s="23"/>
    </row>
    <row r="168" spans="1:19">
      <c r="A168" s="23" t="s">
        <v>94</v>
      </c>
      <c r="B168" s="23" t="s">
        <v>82</v>
      </c>
      <c r="C168" s="23" t="s">
        <v>21</v>
      </c>
      <c r="D168" s="23" t="s">
        <v>167</v>
      </c>
      <c r="E168" s="23">
        <v>1</v>
      </c>
      <c r="F168" s="23" t="s">
        <v>50</v>
      </c>
      <c r="G168" s="23" t="s">
        <v>151</v>
      </c>
      <c r="H168" s="23">
        <v>5</v>
      </c>
      <c r="I168" s="23">
        <v>42</v>
      </c>
      <c r="J168" s="23">
        <v>6000</v>
      </c>
      <c r="K168" s="23">
        <v>23</v>
      </c>
      <c r="L168" s="23">
        <v>1</v>
      </c>
      <c r="M168" s="23" t="s">
        <v>161</v>
      </c>
      <c r="N168" s="23">
        <v>0</v>
      </c>
      <c r="P168" s="23">
        <v>0</v>
      </c>
      <c r="S168" s="23"/>
    </row>
    <row r="169" spans="1:19">
      <c r="A169" s="23" t="s">
        <v>94</v>
      </c>
      <c r="B169" s="23" t="s">
        <v>82</v>
      </c>
      <c r="C169" s="23" t="s">
        <v>21</v>
      </c>
      <c r="D169" s="23" t="s">
        <v>167</v>
      </c>
      <c r="E169" s="23">
        <v>1</v>
      </c>
      <c r="F169" s="23" t="s">
        <v>50</v>
      </c>
      <c r="G169" s="23" t="s">
        <v>152</v>
      </c>
      <c r="H169" s="23">
        <v>6</v>
      </c>
      <c r="I169" s="23">
        <v>42</v>
      </c>
      <c r="J169" s="23">
        <v>6000</v>
      </c>
      <c r="K169" s="23">
        <v>23</v>
      </c>
      <c r="L169" s="23">
        <v>1</v>
      </c>
      <c r="M169" s="23" t="s">
        <v>160</v>
      </c>
      <c r="N169" s="23">
        <v>1</v>
      </c>
      <c r="O169" s="23" t="s">
        <v>190</v>
      </c>
      <c r="P169" s="23">
        <v>1</v>
      </c>
      <c r="Q169" s="23" t="s">
        <v>190</v>
      </c>
      <c r="R169" s="23">
        <v>0</v>
      </c>
      <c r="S169" s="23">
        <v>5.2710923551330247</v>
      </c>
    </row>
    <row r="170" spans="1:19">
      <c r="A170" s="23" t="s">
        <v>94</v>
      </c>
      <c r="B170" s="23" t="s">
        <v>82</v>
      </c>
      <c r="C170" s="23" t="s">
        <v>14</v>
      </c>
      <c r="D170" s="23" t="s">
        <v>167</v>
      </c>
      <c r="E170" s="23">
        <v>3</v>
      </c>
      <c r="F170" s="23" t="s">
        <v>52</v>
      </c>
      <c r="G170" s="23" t="s">
        <v>153</v>
      </c>
      <c r="H170" s="23">
        <v>1</v>
      </c>
      <c r="I170" s="23">
        <v>42</v>
      </c>
      <c r="J170" s="23">
        <v>6000</v>
      </c>
      <c r="K170" s="23">
        <v>23</v>
      </c>
      <c r="L170" s="23">
        <v>3</v>
      </c>
      <c r="M170" s="23" t="s">
        <v>160</v>
      </c>
      <c r="N170" s="23">
        <v>0</v>
      </c>
      <c r="P170" s="23">
        <v>0</v>
      </c>
      <c r="S170" s="23"/>
    </row>
    <row r="171" spans="1:19">
      <c r="A171" s="23" t="s">
        <v>94</v>
      </c>
      <c r="B171" s="23" t="s">
        <v>82</v>
      </c>
      <c r="C171" s="23" t="s">
        <v>14</v>
      </c>
      <c r="D171" s="23" t="s">
        <v>167</v>
      </c>
      <c r="E171" s="23">
        <v>3</v>
      </c>
      <c r="F171" s="23" t="s">
        <v>52</v>
      </c>
      <c r="G171" s="23" t="s">
        <v>154</v>
      </c>
      <c r="H171" s="23">
        <v>2</v>
      </c>
      <c r="I171" s="23">
        <v>42</v>
      </c>
      <c r="J171" s="23">
        <v>6000</v>
      </c>
      <c r="K171" s="23">
        <v>23</v>
      </c>
      <c r="L171" s="23">
        <v>3</v>
      </c>
      <c r="M171" s="23" t="s">
        <v>161</v>
      </c>
      <c r="N171" s="23">
        <v>0</v>
      </c>
      <c r="P171" s="23">
        <v>0</v>
      </c>
      <c r="S171" s="23"/>
    </row>
    <row r="172" spans="1:19">
      <c r="A172" s="23" t="s">
        <v>94</v>
      </c>
      <c r="B172" s="23" t="s">
        <v>82</v>
      </c>
      <c r="C172" s="23" t="s">
        <v>14</v>
      </c>
      <c r="D172" s="23" t="s">
        <v>167</v>
      </c>
      <c r="E172" s="23">
        <v>3</v>
      </c>
      <c r="F172" s="23" t="s">
        <v>51</v>
      </c>
      <c r="G172" s="23" t="s">
        <v>155</v>
      </c>
      <c r="H172" s="23">
        <v>3</v>
      </c>
      <c r="I172" s="23">
        <v>42</v>
      </c>
      <c r="J172" s="23">
        <v>6000</v>
      </c>
      <c r="K172" s="23">
        <v>23</v>
      </c>
      <c r="L172" s="23">
        <v>3</v>
      </c>
      <c r="M172" s="23" t="s">
        <v>161</v>
      </c>
      <c r="N172" s="23">
        <v>0</v>
      </c>
      <c r="P172" s="23">
        <v>0</v>
      </c>
      <c r="S172" s="23"/>
    </row>
    <row r="173" spans="1:19">
      <c r="A173" s="23" t="s">
        <v>94</v>
      </c>
      <c r="B173" s="23" t="s">
        <v>82</v>
      </c>
      <c r="C173" s="23" t="s">
        <v>14</v>
      </c>
      <c r="D173" s="23" t="s">
        <v>167</v>
      </c>
      <c r="E173" s="23">
        <v>3</v>
      </c>
      <c r="F173" s="23" t="s">
        <v>51</v>
      </c>
      <c r="G173" s="23" t="s">
        <v>156</v>
      </c>
      <c r="H173" s="23">
        <v>4</v>
      </c>
      <c r="I173" s="23">
        <v>42</v>
      </c>
      <c r="J173" s="23">
        <v>6000</v>
      </c>
      <c r="K173" s="23">
        <v>23</v>
      </c>
      <c r="L173" s="23">
        <v>3</v>
      </c>
      <c r="M173" s="23" t="s">
        <v>160</v>
      </c>
      <c r="N173" s="23">
        <v>0</v>
      </c>
      <c r="P173" s="23">
        <v>0</v>
      </c>
      <c r="S173" s="23"/>
    </row>
    <row r="174" spans="1:19">
      <c r="A174" s="23" t="s">
        <v>94</v>
      </c>
      <c r="B174" s="23" t="s">
        <v>82</v>
      </c>
      <c r="C174" s="23" t="s">
        <v>14</v>
      </c>
      <c r="D174" s="23" t="s">
        <v>167</v>
      </c>
      <c r="E174" s="23">
        <v>3</v>
      </c>
      <c r="F174" s="23" t="s">
        <v>51</v>
      </c>
      <c r="G174" s="23" t="s">
        <v>157</v>
      </c>
      <c r="H174" s="23">
        <v>5</v>
      </c>
      <c r="I174" s="23">
        <v>42</v>
      </c>
      <c r="J174" s="23">
        <v>6000</v>
      </c>
      <c r="K174" s="23">
        <v>23</v>
      </c>
      <c r="L174" s="23">
        <v>3</v>
      </c>
      <c r="M174" s="23" t="s">
        <v>161</v>
      </c>
      <c r="N174" s="23">
        <v>0</v>
      </c>
      <c r="P174" s="23">
        <v>0</v>
      </c>
      <c r="S174" s="26"/>
    </row>
    <row r="175" spans="1:19">
      <c r="A175" s="23" t="s">
        <v>94</v>
      </c>
      <c r="B175" s="23" t="s">
        <v>82</v>
      </c>
      <c r="C175" s="23" t="s">
        <v>14</v>
      </c>
      <c r="D175" s="23" t="s">
        <v>167</v>
      </c>
      <c r="E175" s="23">
        <v>3</v>
      </c>
      <c r="F175" s="23" t="s">
        <v>51</v>
      </c>
      <c r="G175" s="23" t="s">
        <v>158</v>
      </c>
      <c r="H175" s="23">
        <v>6</v>
      </c>
      <c r="I175" s="23">
        <v>42</v>
      </c>
      <c r="J175" s="23">
        <v>6000</v>
      </c>
      <c r="K175" s="23">
        <v>23</v>
      </c>
      <c r="L175" s="23">
        <v>3</v>
      </c>
      <c r="M175" s="23" t="s">
        <v>160</v>
      </c>
      <c r="N175" s="23">
        <v>1</v>
      </c>
      <c r="O175" s="23" t="s">
        <v>190</v>
      </c>
      <c r="P175" s="23">
        <v>1</v>
      </c>
      <c r="R175" s="23">
        <v>0</v>
      </c>
      <c r="S175" s="26">
        <v>4.5662823111874564</v>
      </c>
    </row>
    <row r="176" spans="1:19">
      <c r="A176" s="23" t="s">
        <v>94</v>
      </c>
      <c r="B176" s="23" t="s">
        <v>82</v>
      </c>
      <c r="C176" s="23" t="s">
        <v>22</v>
      </c>
      <c r="D176" s="23" t="s">
        <v>167</v>
      </c>
      <c r="E176" s="23">
        <v>2</v>
      </c>
      <c r="F176" s="23" t="s">
        <v>58</v>
      </c>
      <c r="G176" s="23" t="s">
        <v>156</v>
      </c>
      <c r="H176" s="23">
        <v>1</v>
      </c>
      <c r="I176" s="23">
        <v>42</v>
      </c>
      <c r="J176" s="23">
        <v>6000</v>
      </c>
      <c r="K176" s="23">
        <v>23</v>
      </c>
      <c r="L176" s="23">
        <v>2</v>
      </c>
      <c r="M176" s="23" t="s">
        <v>161</v>
      </c>
      <c r="N176" s="23">
        <v>0</v>
      </c>
      <c r="P176" s="23">
        <v>0</v>
      </c>
      <c r="S176" s="23"/>
    </row>
    <row r="177" spans="1:19">
      <c r="A177" s="23" t="s">
        <v>94</v>
      </c>
      <c r="B177" s="23" t="s">
        <v>82</v>
      </c>
      <c r="C177" s="23" t="s">
        <v>22</v>
      </c>
      <c r="D177" s="23" t="s">
        <v>167</v>
      </c>
      <c r="E177" s="23">
        <v>2</v>
      </c>
      <c r="F177" s="23" t="s">
        <v>58</v>
      </c>
      <c r="G177" s="23" t="s">
        <v>157</v>
      </c>
      <c r="H177" s="23">
        <v>2</v>
      </c>
      <c r="I177" s="23">
        <v>42</v>
      </c>
      <c r="J177" s="23">
        <v>6000</v>
      </c>
      <c r="K177" s="23">
        <v>23</v>
      </c>
      <c r="L177" s="23">
        <v>2</v>
      </c>
      <c r="M177" s="23" t="s">
        <v>160</v>
      </c>
      <c r="N177" s="23">
        <v>1</v>
      </c>
      <c r="O177" s="23" t="s">
        <v>190</v>
      </c>
      <c r="P177" s="23">
        <v>1</v>
      </c>
      <c r="Q177" s="23" t="s">
        <v>190</v>
      </c>
      <c r="S177" s="23"/>
    </row>
    <row r="178" spans="1:19">
      <c r="A178" s="23" t="s">
        <v>94</v>
      </c>
      <c r="B178" s="23" t="s">
        <v>82</v>
      </c>
      <c r="C178" s="23" t="s">
        <v>22</v>
      </c>
      <c r="D178" s="23" t="s">
        <v>167</v>
      </c>
      <c r="E178" s="23">
        <v>2</v>
      </c>
      <c r="F178" s="23" t="s">
        <v>58</v>
      </c>
      <c r="G178" s="23" t="s">
        <v>153</v>
      </c>
      <c r="H178" s="23">
        <v>3</v>
      </c>
      <c r="I178" s="23">
        <v>42</v>
      </c>
      <c r="J178" s="23">
        <v>6000</v>
      </c>
      <c r="K178" s="23">
        <v>23</v>
      </c>
      <c r="L178" s="23">
        <v>2</v>
      </c>
      <c r="M178" s="23" t="s">
        <v>161</v>
      </c>
      <c r="N178" s="23">
        <v>0</v>
      </c>
      <c r="P178" s="23">
        <v>0</v>
      </c>
      <c r="S178" s="23"/>
    </row>
    <row r="179" spans="1:19">
      <c r="A179" s="23" t="s">
        <v>94</v>
      </c>
      <c r="B179" s="23" t="s">
        <v>82</v>
      </c>
      <c r="C179" s="23" t="s">
        <v>22</v>
      </c>
      <c r="D179" s="23" t="s">
        <v>167</v>
      </c>
      <c r="E179" s="23">
        <v>2</v>
      </c>
      <c r="F179" s="23" t="s">
        <v>58</v>
      </c>
      <c r="G179" s="23" t="s">
        <v>158</v>
      </c>
      <c r="H179" s="23">
        <v>4</v>
      </c>
      <c r="I179" s="23">
        <v>42</v>
      </c>
      <c r="J179" s="23">
        <v>6000</v>
      </c>
      <c r="K179" s="23">
        <v>23</v>
      </c>
      <c r="L179" s="23">
        <v>2</v>
      </c>
      <c r="M179" s="23" t="s">
        <v>161</v>
      </c>
      <c r="N179" s="23">
        <v>0</v>
      </c>
      <c r="P179" s="23">
        <v>0</v>
      </c>
      <c r="S179" s="23"/>
    </row>
    <row r="180" spans="1:19">
      <c r="A180" s="23" t="s">
        <v>94</v>
      </c>
      <c r="B180" s="23" t="s">
        <v>82</v>
      </c>
      <c r="C180" s="23" t="s">
        <v>22</v>
      </c>
      <c r="D180" s="23" t="s">
        <v>167</v>
      </c>
      <c r="E180" s="23">
        <v>2</v>
      </c>
      <c r="F180" s="23" t="s">
        <v>58</v>
      </c>
      <c r="G180" s="23" t="s">
        <v>155</v>
      </c>
      <c r="H180" s="23">
        <v>5</v>
      </c>
      <c r="I180" s="23">
        <v>42</v>
      </c>
      <c r="J180" s="23">
        <v>6000</v>
      </c>
      <c r="K180" s="23">
        <v>23</v>
      </c>
      <c r="L180" s="23">
        <v>2</v>
      </c>
      <c r="M180" s="23" t="s">
        <v>160</v>
      </c>
      <c r="N180" s="23">
        <v>0</v>
      </c>
      <c r="P180" s="23">
        <v>0</v>
      </c>
      <c r="S180" s="26"/>
    </row>
    <row r="181" spans="1:19">
      <c r="A181" s="23" t="s">
        <v>94</v>
      </c>
      <c r="B181" s="23" t="s">
        <v>82</v>
      </c>
      <c r="C181" s="23" t="s">
        <v>22</v>
      </c>
      <c r="D181" s="23" t="s">
        <v>167</v>
      </c>
      <c r="E181" s="23">
        <v>2</v>
      </c>
      <c r="F181" s="23" t="s">
        <v>58</v>
      </c>
      <c r="G181" s="23" t="s">
        <v>154</v>
      </c>
      <c r="H181" s="23">
        <v>6</v>
      </c>
      <c r="I181" s="23">
        <v>42</v>
      </c>
      <c r="J181" s="23">
        <v>6000</v>
      </c>
      <c r="K181" s="23">
        <v>23</v>
      </c>
      <c r="L181" s="23">
        <v>2</v>
      </c>
      <c r="M181" s="23" t="s">
        <v>160</v>
      </c>
      <c r="N181" s="23">
        <v>1</v>
      </c>
      <c r="O181" s="23" t="s">
        <v>190</v>
      </c>
      <c r="P181" s="23">
        <v>1</v>
      </c>
      <c r="Q181" s="23" t="s">
        <v>190</v>
      </c>
      <c r="R181" s="23">
        <v>0</v>
      </c>
      <c r="S181" s="26">
        <v>3.7009812969937812</v>
      </c>
    </row>
    <row r="182" spans="1:19">
      <c r="A182" s="23" t="s">
        <v>36</v>
      </c>
      <c r="B182" s="23" t="s">
        <v>82</v>
      </c>
      <c r="C182" s="23" t="s">
        <v>14</v>
      </c>
      <c r="D182" s="23" t="s">
        <v>171</v>
      </c>
      <c r="E182" s="23">
        <v>1</v>
      </c>
      <c r="F182" s="23" t="s">
        <v>50</v>
      </c>
      <c r="G182" s="23" t="s">
        <v>147</v>
      </c>
      <c r="H182" s="23">
        <v>1</v>
      </c>
      <c r="I182" s="23">
        <v>42</v>
      </c>
      <c r="J182" s="23">
        <v>5000</v>
      </c>
      <c r="K182" s="23">
        <v>23</v>
      </c>
      <c r="L182" s="23">
        <v>1</v>
      </c>
      <c r="M182" s="23" t="s">
        <v>160</v>
      </c>
      <c r="N182" s="23">
        <v>1</v>
      </c>
      <c r="O182" s="23" t="s">
        <v>190</v>
      </c>
      <c r="P182" s="23">
        <v>1</v>
      </c>
      <c r="S182" s="23"/>
    </row>
    <row r="183" spans="1:19">
      <c r="A183" s="23" t="s">
        <v>36</v>
      </c>
      <c r="B183" s="23" t="s">
        <v>82</v>
      </c>
      <c r="C183" s="23" t="s">
        <v>14</v>
      </c>
      <c r="D183" s="23" t="s">
        <v>171</v>
      </c>
      <c r="E183" s="23">
        <v>1</v>
      </c>
      <c r="F183" s="23" t="s">
        <v>50</v>
      </c>
      <c r="G183" s="23" t="s">
        <v>148</v>
      </c>
      <c r="H183" s="23">
        <v>2</v>
      </c>
      <c r="I183" s="23">
        <v>42</v>
      </c>
      <c r="J183" s="23">
        <v>5000</v>
      </c>
      <c r="K183" s="23">
        <v>23</v>
      </c>
      <c r="L183" s="23">
        <v>1</v>
      </c>
      <c r="M183" s="23" t="s">
        <v>161</v>
      </c>
      <c r="N183" s="23">
        <v>0</v>
      </c>
      <c r="P183" s="23">
        <v>0</v>
      </c>
      <c r="S183" s="23"/>
    </row>
    <row r="184" spans="1:19">
      <c r="A184" s="23" t="s">
        <v>95</v>
      </c>
      <c r="B184" s="23" t="s">
        <v>82</v>
      </c>
      <c r="C184" s="23" t="s">
        <v>14</v>
      </c>
      <c r="D184" s="23" t="s">
        <v>168</v>
      </c>
      <c r="E184" s="23">
        <v>1</v>
      </c>
      <c r="F184" s="23" t="s">
        <v>50</v>
      </c>
      <c r="G184" s="23" t="s">
        <v>149</v>
      </c>
      <c r="H184" s="23">
        <v>3</v>
      </c>
      <c r="I184" s="23">
        <v>42</v>
      </c>
      <c r="J184" s="23">
        <v>5000</v>
      </c>
      <c r="K184" s="23">
        <v>23</v>
      </c>
      <c r="L184" s="23">
        <v>1</v>
      </c>
      <c r="M184" s="23" t="s">
        <v>160</v>
      </c>
      <c r="N184" s="23">
        <v>0</v>
      </c>
      <c r="P184" s="23">
        <v>0</v>
      </c>
      <c r="S184" s="23"/>
    </row>
    <row r="185" spans="1:19">
      <c r="A185" s="23" t="s">
        <v>95</v>
      </c>
      <c r="B185" s="23" t="s">
        <v>82</v>
      </c>
      <c r="C185" s="23" t="s">
        <v>14</v>
      </c>
      <c r="D185" s="23" t="s">
        <v>168</v>
      </c>
      <c r="E185" s="23">
        <v>1</v>
      </c>
      <c r="F185" s="23" t="s">
        <v>50</v>
      </c>
      <c r="G185" s="23" t="s">
        <v>150</v>
      </c>
      <c r="H185" s="23">
        <v>4</v>
      </c>
      <c r="I185" s="23">
        <v>42</v>
      </c>
      <c r="J185" s="23">
        <v>5000</v>
      </c>
      <c r="K185" s="23">
        <v>23</v>
      </c>
      <c r="L185" s="23">
        <v>1</v>
      </c>
      <c r="M185" s="23" t="s">
        <v>161</v>
      </c>
      <c r="N185" s="23">
        <v>0</v>
      </c>
      <c r="P185" s="23">
        <v>0</v>
      </c>
      <c r="S185" s="23"/>
    </row>
    <row r="186" spans="1:19">
      <c r="A186" s="23" t="s">
        <v>95</v>
      </c>
      <c r="B186" s="23" t="s">
        <v>82</v>
      </c>
      <c r="C186" s="23" t="s">
        <v>14</v>
      </c>
      <c r="D186" s="23" t="s">
        <v>168</v>
      </c>
      <c r="E186" s="23">
        <v>1</v>
      </c>
      <c r="F186" s="23" t="s">
        <v>50</v>
      </c>
      <c r="G186" s="23" t="s">
        <v>151</v>
      </c>
      <c r="H186" s="23">
        <v>5</v>
      </c>
      <c r="I186" s="23">
        <v>42</v>
      </c>
      <c r="J186" s="23">
        <v>5000</v>
      </c>
      <c r="K186" s="23">
        <v>23</v>
      </c>
      <c r="L186" s="23">
        <v>1</v>
      </c>
      <c r="M186" s="23" t="s">
        <v>161</v>
      </c>
      <c r="N186" s="23">
        <v>0</v>
      </c>
      <c r="P186" s="23">
        <v>0</v>
      </c>
      <c r="S186" s="23"/>
    </row>
    <row r="187" spans="1:19">
      <c r="A187" s="27" t="s">
        <v>95</v>
      </c>
      <c r="B187" s="27" t="s">
        <v>82</v>
      </c>
      <c r="C187" s="27" t="s">
        <v>14</v>
      </c>
      <c r="D187" s="27" t="s">
        <v>168</v>
      </c>
      <c r="E187" s="27">
        <v>1</v>
      </c>
      <c r="F187" s="27" t="s">
        <v>50</v>
      </c>
      <c r="G187" s="27" t="s">
        <v>152</v>
      </c>
      <c r="H187" s="27">
        <v>6</v>
      </c>
      <c r="I187" s="23">
        <v>42</v>
      </c>
      <c r="J187" s="23">
        <v>5000</v>
      </c>
      <c r="K187" s="23">
        <v>23</v>
      </c>
      <c r="L187" s="23">
        <v>1</v>
      </c>
      <c r="M187" s="27" t="s">
        <v>160</v>
      </c>
      <c r="N187" s="27">
        <v>0</v>
      </c>
      <c r="O187" s="27"/>
      <c r="P187" s="27">
        <v>0</v>
      </c>
      <c r="Q187" s="27"/>
      <c r="R187" s="27">
        <v>0</v>
      </c>
      <c r="S187" s="27"/>
    </row>
    <row r="188" spans="1:19">
      <c r="A188" s="23" t="s">
        <v>95</v>
      </c>
      <c r="B188" s="23" t="s">
        <v>82</v>
      </c>
      <c r="C188" s="23" t="s">
        <v>22</v>
      </c>
      <c r="D188" s="23" t="s">
        <v>168</v>
      </c>
      <c r="E188" s="23">
        <v>3</v>
      </c>
      <c r="F188" s="23" t="s">
        <v>52</v>
      </c>
      <c r="G188" s="23" t="s">
        <v>153</v>
      </c>
      <c r="H188" s="23">
        <v>1</v>
      </c>
      <c r="I188" s="23">
        <v>42</v>
      </c>
      <c r="J188" s="23">
        <v>5000</v>
      </c>
      <c r="K188" s="23">
        <v>23</v>
      </c>
      <c r="L188" s="23">
        <v>3</v>
      </c>
      <c r="M188" s="23" t="s">
        <v>160</v>
      </c>
      <c r="N188" s="23">
        <v>1</v>
      </c>
      <c r="O188" s="23" t="s">
        <v>190</v>
      </c>
      <c r="P188" s="23">
        <v>1</v>
      </c>
      <c r="Q188" s="23" t="s">
        <v>190</v>
      </c>
      <c r="S188" s="23"/>
    </row>
    <row r="189" spans="1:19">
      <c r="A189" s="23" t="s">
        <v>95</v>
      </c>
      <c r="B189" s="23" t="s">
        <v>82</v>
      </c>
      <c r="C189" s="23" t="s">
        <v>22</v>
      </c>
      <c r="D189" s="23" t="s">
        <v>168</v>
      </c>
      <c r="E189" s="23">
        <v>3</v>
      </c>
      <c r="F189" s="23" t="s">
        <v>52</v>
      </c>
      <c r="G189" s="23" t="s">
        <v>154</v>
      </c>
      <c r="H189" s="23">
        <v>2</v>
      </c>
      <c r="I189" s="23">
        <v>42</v>
      </c>
      <c r="J189" s="23">
        <v>5000</v>
      </c>
      <c r="K189" s="23">
        <v>23</v>
      </c>
      <c r="L189" s="23">
        <v>3</v>
      </c>
      <c r="M189" s="23" t="s">
        <v>161</v>
      </c>
      <c r="N189" s="23">
        <v>1</v>
      </c>
      <c r="O189" s="23" t="s">
        <v>190</v>
      </c>
      <c r="P189" s="23">
        <v>1</v>
      </c>
      <c r="Q189" s="23" t="s">
        <v>190</v>
      </c>
      <c r="S189" s="23"/>
    </row>
    <row r="190" spans="1:19" s="29" customFormat="1">
      <c r="A190" s="23" t="s">
        <v>95</v>
      </c>
      <c r="B190" s="23" t="s">
        <v>82</v>
      </c>
      <c r="C190" s="23" t="s">
        <v>22</v>
      </c>
      <c r="D190" s="23" t="s">
        <v>168</v>
      </c>
      <c r="E190" s="23">
        <v>3</v>
      </c>
      <c r="F190" s="23" t="s">
        <v>51</v>
      </c>
      <c r="G190" s="23" t="s">
        <v>155</v>
      </c>
      <c r="H190" s="23">
        <v>3</v>
      </c>
      <c r="I190" s="23">
        <v>42</v>
      </c>
      <c r="J190" s="23">
        <v>5000</v>
      </c>
      <c r="K190" s="23">
        <v>23</v>
      </c>
      <c r="L190" s="23">
        <v>3</v>
      </c>
      <c r="M190" s="23" t="s">
        <v>161</v>
      </c>
      <c r="N190" s="23">
        <v>1</v>
      </c>
      <c r="O190" s="23" t="s">
        <v>190</v>
      </c>
      <c r="P190" s="23">
        <v>1</v>
      </c>
      <c r="Q190" s="23" t="s">
        <v>190</v>
      </c>
      <c r="R190" s="23"/>
      <c r="S190" s="23"/>
    </row>
    <row r="191" spans="1:19">
      <c r="A191" s="23" t="s">
        <v>95</v>
      </c>
      <c r="B191" s="23" t="s">
        <v>82</v>
      </c>
      <c r="C191" s="23" t="s">
        <v>22</v>
      </c>
      <c r="D191" s="23" t="s">
        <v>168</v>
      </c>
      <c r="E191" s="23">
        <v>3</v>
      </c>
      <c r="F191" s="23" t="s">
        <v>51</v>
      </c>
      <c r="G191" s="23" t="s">
        <v>156</v>
      </c>
      <c r="H191" s="23">
        <v>4</v>
      </c>
      <c r="I191" s="23">
        <v>42</v>
      </c>
      <c r="J191" s="23">
        <v>5000</v>
      </c>
      <c r="K191" s="23">
        <v>23</v>
      </c>
      <c r="L191" s="23">
        <v>3</v>
      </c>
      <c r="M191" s="23" t="s">
        <v>160</v>
      </c>
      <c r="N191" s="23">
        <v>1</v>
      </c>
      <c r="O191" s="23" t="s">
        <v>190</v>
      </c>
      <c r="P191" s="23">
        <v>1</v>
      </c>
      <c r="Q191" s="23" t="s">
        <v>190</v>
      </c>
      <c r="S191" s="23"/>
    </row>
    <row r="192" spans="1:19">
      <c r="A192" s="23" t="s">
        <v>95</v>
      </c>
      <c r="B192" s="23" t="s">
        <v>82</v>
      </c>
      <c r="C192" s="23" t="s">
        <v>22</v>
      </c>
      <c r="D192" s="23" t="s">
        <v>168</v>
      </c>
      <c r="E192" s="23">
        <v>3</v>
      </c>
      <c r="F192" s="23" t="s">
        <v>51</v>
      </c>
      <c r="G192" s="23" t="s">
        <v>157</v>
      </c>
      <c r="H192" s="23">
        <v>5</v>
      </c>
      <c r="I192" s="23">
        <v>42</v>
      </c>
      <c r="J192" s="23">
        <v>5000</v>
      </c>
      <c r="K192" s="23">
        <v>23</v>
      </c>
      <c r="L192" s="23">
        <v>3</v>
      </c>
      <c r="M192" s="23" t="s">
        <v>161</v>
      </c>
      <c r="N192" s="23">
        <v>1</v>
      </c>
      <c r="O192" s="23" t="s">
        <v>190</v>
      </c>
      <c r="P192" s="23">
        <v>1</v>
      </c>
      <c r="Q192" s="23" t="s">
        <v>190</v>
      </c>
      <c r="S192" s="26"/>
    </row>
    <row r="193" spans="1:19">
      <c r="A193" s="23" t="s">
        <v>95</v>
      </c>
      <c r="B193" s="23" t="s">
        <v>82</v>
      </c>
      <c r="C193" s="23" t="s">
        <v>22</v>
      </c>
      <c r="D193" s="23" t="s">
        <v>168</v>
      </c>
      <c r="E193" s="23">
        <v>3</v>
      </c>
      <c r="F193" s="23" t="s">
        <v>51</v>
      </c>
      <c r="G193" s="23" t="s">
        <v>158</v>
      </c>
      <c r="H193" s="23">
        <v>6</v>
      </c>
      <c r="I193" s="23">
        <v>42</v>
      </c>
      <c r="J193" s="23">
        <v>5000</v>
      </c>
      <c r="K193" s="23">
        <v>23</v>
      </c>
      <c r="L193" s="23">
        <v>3</v>
      </c>
      <c r="M193" s="23" t="s">
        <v>160</v>
      </c>
      <c r="N193" s="23">
        <v>1</v>
      </c>
      <c r="O193" s="23" t="s">
        <v>190</v>
      </c>
      <c r="P193" s="23">
        <v>1</v>
      </c>
      <c r="Q193" s="23" t="s">
        <v>190</v>
      </c>
      <c r="R193" s="23">
        <v>0</v>
      </c>
      <c r="S193" s="26">
        <v>10.14111183896825</v>
      </c>
    </row>
    <row r="194" spans="1:19">
      <c r="A194" s="23" t="s">
        <v>95</v>
      </c>
      <c r="B194" s="23" t="s">
        <v>82</v>
      </c>
      <c r="C194" s="23" t="s">
        <v>21</v>
      </c>
      <c r="D194" s="23" t="s">
        <v>168</v>
      </c>
      <c r="E194" s="23">
        <v>2</v>
      </c>
      <c r="F194" s="23" t="s">
        <v>58</v>
      </c>
      <c r="G194" s="23" t="s">
        <v>156</v>
      </c>
      <c r="H194" s="23">
        <v>1</v>
      </c>
      <c r="I194" s="23">
        <v>42</v>
      </c>
      <c r="J194" s="23">
        <v>5000</v>
      </c>
      <c r="K194" s="23">
        <v>23</v>
      </c>
      <c r="L194" s="23">
        <v>2</v>
      </c>
      <c r="M194" s="23" t="s">
        <v>161</v>
      </c>
      <c r="N194" s="23">
        <v>0</v>
      </c>
      <c r="P194" s="23">
        <v>0</v>
      </c>
      <c r="S194" s="23"/>
    </row>
    <row r="195" spans="1:19">
      <c r="A195" s="23" t="s">
        <v>95</v>
      </c>
      <c r="B195" s="23" t="s">
        <v>82</v>
      </c>
      <c r="C195" s="23" t="s">
        <v>21</v>
      </c>
      <c r="D195" s="23" t="s">
        <v>168</v>
      </c>
      <c r="E195" s="23">
        <v>2</v>
      </c>
      <c r="F195" s="23" t="s">
        <v>58</v>
      </c>
      <c r="G195" s="23" t="s">
        <v>157</v>
      </c>
      <c r="H195" s="23">
        <v>2</v>
      </c>
      <c r="I195" s="23">
        <v>42</v>
      </c>
      <c r="J195" s="23">
        <v>5000</v>
      </c>
      <c r="K195" s="23">
        <v>23</v>
      </c>
      <c r="L195" s="23">
        <v>2</v>
      </c>
      <c r="M195" s="23" t="s">
        <v>160</v>
      </c>
      <c r="N195" s="23">
        <v>1</v>
      </c>
      <c r="O195" s="23" t="s">
        <v>190</v>
      </c>
      <c r="P195" s="23">
        <v>1</v>
      </c>
      <c r="Q195" s="23" t="s">
        <v>190</v>
      </c>
      <c r="S195" s="23"/>
    </row>
    <row r="196" spans="1:19">
      <c r="A196" s="23" t="s">
        <v>95</v>
      </c>
      <c r="B196" s="23" t="s">
        <v>82</v>
      </c>
      <c r="C196" s="23" t="s">
        <v>21</v>
      </c>
      <c r="D196" s="23" t="s">
        <v>168</v>
      </c>
      <c r="E196" s="23">
        <v>2</v>
      </c>
      <c r="F196" s="23" t="s">
        <v>58</v>
      </c>
      <c r="G196" s="23" t="s">
        <v>153</v>
      </c>
      <c r="H196" s="23">
        <v>3</v>
      </c>
      <c r="I196" s="23">
        <v>42</v>
      </c>
      <c r="J196" s="23">
        <v>5000</v>
      </c>
      <c r="K196" s="23">
        <v>23</v>
      </c>
      <c r="L196" s="23">
        <v>2</v>
      </c>
      <c r="M196" s="23" t="s">
        <v>161</v>
      </c>
      <c r="N196" s="23">
        <v>1</v>
      </c>
      <c r="O196" s="23" t="s">
        <v>190</v>
      </c>
      <c r="P196" s="23">
        <v>1</v>
      </c>
      <c r="Q196" s="23" t="s">
        <v>190</v>
      </c>
      <c r="S196" s="23"/>
    </row>
    <row r="197" spans="1:19">
      <c r="A197" s="23" t="s">
        <v>95</v>
      </c>
      <c r="B197" s="23" t="s">
        <v>82</v>
      </c>
      <c r="C197" s="23" t="s">
        <v>21</v>
      </c>
      <c r="D197" s="23" t="s">
        <v>168</v>
      </c>
      <c r="E197" s="23">
        <v>2</v>
      </c>
      <c r="F197" s="23" t="s">
        <v>58</v>
      </c>
      <c r="G197" s="23" t="s">
        <v>158</v>
      </c>
      <c r="H197" s="23">
        <v>4</v>
      </c>
      <c r="I197" s="23">
        <v>42</v>
      </c>
      <c r="J197" s="23">
        <v>5000</v>
      </c>
      <c r="K197" s="23">
        <v>23</v>
      </c>
      <c r="L197" s="23">
        <v>2</v>
      </c>
      <c r="M197" s="23" t="s">
        <v>161</v>
      </c>
      <c r="N197" s="23">
        <v>1</v>
      </c>
      <c r="O197" s="23" t="s">
        <v>190</v>
      </c>
      <c r="P197" s="23">
        <v>1</v>
      </c>
      <c r="Q197" s="23" t="s">
        <v>190</v>
      </c>
      <c r="S197" s="23"/>
    </row>
    <row r="198" spans="1:19">
      <c r="A198" s="23" t="s">
        <v>95</v>
      </c>
      <c r="B198" s="23" t="s">
        <v>82</v>
      </c>
      <c r="C198" s="23" t="s">
        <v>21</v>
      </c>
      <c r="D198" s="23" t="s">
        <v>168</v>
      </c>
      <c r="E198" s="23">
        <v>2</v>
      </c>
      <c r="F198" s="23" t="s">
        <v>58</v>
      </c>
      <c r="G198" s="23" t="s">
        <v>155</v>
      </c>
      <c r="H198" s="23">
        <v>5</v>
      </c>
      <c r="I198" s="23">
        <v>42</v>
      </c>
      <c r="J198" s="23">
        <v>5000</v>
      </c>
      <c r="K198" s="23">
        <v>23</v>
      </c>
      <c r="L198" s="23">
        <v>2</v>
      </c>
      <c r="M198" s="23" t="s">
        <v>160</v>
      </c>
      <c r="N198" s="23">
        <v>1</v>
      </c>
      <c r="O198" s="23" t="s">
        <v>190</v>
      </c>
      <c r="P198" s="23">
        <v>1</v>
      </c>
      <c r="Q198" s="23" t="s">
        <v>190</v>
      </c>
      <c r="S198" s="26"/>
    </row>
    <row r="199" spans="1:19">
      <c r="A199" s="23" t="s">
        <v>95</v>
      </c>
      <c r="B199" s="23" t="s">
        <v>82</v>
      </c>
      <c r="C199" s="23" t="s">
        <v>21</v>
      </c>
      <c r="D199" s="23" t="s">
        <v>168</v>
      </c>
      <c r="E199" s="23">
        <v>2</v>
      </c>
      <c r="F199" s="23" t="s">
        <v>58</v>
      </c>
      <c r="G199" s="23" t="s">
        <v>154</v>
      </c>
      <c r="H199" s="23">
        <v>6</v>
      </c>
      <c r="I199" s="23">
        <v>42</v>
      </c>
      <c r="J199" s="23">
        <v>5000</v>
      </c>
      <c r="K199" s="23">
        <v>23</v>
      </c>
      <c r="L199" s="23">
        <v>2</v>
      </c>
      <c r="M199" s="23" t="s">
        <v>160</v>
      </c>
      <c r="N199" s="23">
        <v>1</v>
      </c>
      <c r="O199" s="23" t="s">
        <v>190</v>
      </c>
      <c r="P199" s="23">
        <v>1</v>
      </c>
      <c r="Q199" s="23" t="s">
        <v>190</v>
      </c>
      <c r="R199" s="23">
        <v>0</v>
      </c>
      <c r="S199" s="26">
        <v>10.99610358906728</v>
      </c>
    </row>
    <row r="200" spans="1:19">
      <c r="A200" s="23" t="s">
        <v>37</v>
      </c>
      <c r="B200" s="23" t="s">
        <v>82</v>
      </c>
      <c r="C200" s="23" t="s">
        <v>22</v>
      </c>
      <c r="D200" s="23" t="s">
        <v>172</v>
      </c>
      <c r="E200" s="23">
        <v>1</v>
      </c>
      <c r="F200" s="23" t="s">
        <v>50</v>
      </c>
      <c r="G200" s="23" t="s">
        <v>147</v>
      </c>
      <c r="H200" s="23">
        <v>1</v>
      </c>
      <c r="I200" s="23">
        <v>61</v>
      </c>
      <c r="J200" s="23">
        <v>8000</v>
      </c>
      <c r="K200" s="23">
        <v>40</v>
      </c>
      <c r="L200" s="23">
        <v>1</v>
      </c>
      <c r="M200" s="23" t="s">
        <v>160</v>
      </c>
      <c r="N200" s="23">
        <v>0</v>
      </c>
      <c r="P200" s="23">
        <v>0</v>
      </c>
      <c r="S200" s="23"/>
    </row>
    <row r="201" spans="1:19">
      <c r="A201" s="23" t="s">
        <v>37</v>
      </c>
      <c r="B201" s="23" t="s">
        <v>82</v>
      </c>
      <c r="C201" s="23" t="s">
        <v>22</v>
      </c>
      <c r="D201" s="23" t="s">
        <v>172</v>
      </c>
      <c r="E201" s="23">
        <v>1</v>
      </c>
      <c r="F201" s="23" t="s">
        <v>50</v>
      </c>
      <c r="G201" s="23" t="s">
        <v>148</v>
      </c>
      <c r="H201" s="23">
        <v>2</v>
      </c>
      <c r="I201" s="23">
        <v>61</v>
      </c>
      <c r="J201" s="23">
        <v>8000</v>
      </c>
      <c r="K201" s="23">
        <v>40</v>
      </c>
      <c r="L201" s="23">
        <v>1</v>
      </c>
      <c r="M201" s="23" t="s">
        <v>161</v>
      </c>
      <c r="N201" s="23">
        <v>0</v>
      </c>
      <c r="P201" s="23">
        <v>0</v>
      </c>
      <c r="S201" s="23"/>
    </row>
    <row r="202" spans="1:19">
      <c r="A202" s="23" t="s">
        <v>96</v>
      </c>
      <c r="B202" s="23" t="s">
        <v>82</v>
      </c>
      <c r="C202" s="23" t="s">
        <v>22</v>
      </c>
      <c r="D202" s="23" t="s">
        <v>169</v>
      </c>
      <c r="E202" s="23">
        <v>1</v>
      </c>
      <c r="F202" s="23" t="s">
        <v>50</v>
      </c>
      <c r="G202" s="23" t="s">
        <v>149</v>
      </c>
      <c r="H202" s="23">
        <v>3</v>
      </c>
      <c r="I202" s="23">
        <v>61</v>
      </c>
      <c r="J202" s="23">
        <v>8000</v>
      </c>
      <c r="K202" s="23">
        <v>40</v>
      </c>
      <c r="L202" s="23">
        <v>1</v>
      </c>
      <c r="M202" s="23" t="s">
        <v>160</v>
      </c>
      <c r="N202" s="23">
        <v>0</v>
      </c>
      <c r="P202" s="23">
        <v>0</v>
      </c>
      <c r="S202" s="23"/>
    </row>
    <row r="203" spans="1:19">
      <c r="A203" s="23" t="s">
        <v>96</v>
      </c>
      <c r="B203" s="23" t="s">
        <v>82</v>
      </c>
      <c r="C203" s="23" t="s">
        <v>22</v>
      </c>
      <c r="D203" s="23" t="s">
        <v>169</v>
      </c>
      <c r="E203" s="23">
        <v>1</v>
      </c>
      <c r="F203" s="23" t="s">
        <v>50</v>
      </c>
      <c r="G203" s="23" t="s">
        <v>150</v>
      </c>
      <c r="H203" s="23">
        <v>4</v>
      </c>
      <c r="I203" s="23">
        <v>61</v>
      </c>
      <c r="J203" s="23">
        <v>8000</v>
      </c>
      <c r="K203" s="23">
        <v>40</v>
      </c>
      <c r="L203" s="23">
        <v>1</v>
      </c>
      <c r="M203" s="23" t="s">
        <v>161</v>
      </c>
      <c r="N203" s="23">
        <v>0</v>
      </c>
      <c r="P203" s="23">
        <v>0</v>
      </c>
      <c r="S203" s="23"/>
    </row>
    <row r="204" spans="1:19">
      <c r="A204" s="23" t="s">
        <v>96</v>
      </c>
      <c r="B204" s="23" t="s">
        <v>82</v>
      </c>
      <c r="C204" s="23" t="s">
        <v>22</v>
      </c>
      <c r="D204" s="23" t="s">
        <v>169</v>
      </c>
      <c r="E204" s="23">
        <v>1</v>
      </c>
      <c r="F204" s="23" t="s">
        <v>50</v>
      </c>
      <c r="G204" s="23" t="s">
        <v>151</v>
      </c>
      <c r="H204" s="23">
        <v>5</v>
      </c>
      <c r="I204" s="23">
        <v>61</v>
      </c>
      <c r="J204" s="23">
        <v>8000</v>
      </c>
      <c r="K204" s="23">
        <v>40</v>
      </c>
      <c r="L204" s="23">
        <v>1</v>
      </c>
      <c r="M204" s="23" t="s">
        <v>161</v>
      </c>
      <c r="N204" s="23">
        <v>0</v>
      </c>
      <c r="P204" s="23">
        <v>0</v>
      </c>
      <c r="S204" s="23"/>
    </row>
    <row r="205" spans="1:19">
      <c r="A205" s="23" t="s">
        <v>96</v>
      </c>
      <c r="B205" s="23" t="s">
        <v>82</v>
      </c>
      <c r="C205" s="23" t="s">
        <v>22</v>
      </c>
      <c r="D205" s="23" t="s">
        <v>169</v>
      </c>
      <c r="E205" s="23">
        <v>1</v>
      </c>
      <c r="F205" s="23" t="s">
        <v>50</v>
      </c>
      <c r="G205" s="23" t="s">
        <v>152</v>
      </c>
      <c r="H205" s="23">
        <v>6</v>
      </c>
      <c r="I205" s="23">
        <v>61</v>
      </c>
      <c r="J205" s="23">
        <v>8000</v>
      </c>
      <c r="K205" s="23">
        <v>40</v>
      </c>
      <c r="L205" s="23">
        <v>1</v>
      </c>
      <c r="M205" s="23" t="s">
        <v>160</v>
      </c>
      <c r="N205" s="23">
        <v>1</v>
      </c>
      <c r="O205" s="23" t="s">
        <v>190</v>
      </c>
      <c r="P205" s="23">
        <v>1</v>
      </c>
      <c r="Q205" s="23" t="s">
        <v>190</v>
      </c>
      <c r="R205" s="23">
        <v>0</v>
      </c>
      <c r="S205" s="23">
        <v>4.1205547014187998</v>
      </c>
    </row>
    <row r="206" spans="1:19">
      <c r="A206" s="23" t="s">
        <v>96</v>
      </c>
      <c r="B206" s="23" t="s">
        <v>82</v>
      </c>
      <c r="C206" s="23" t="s">
        <v>21</v>
      </c>
      <c r="D206" s="23" t="s">
        <v>169</v>
      </c>
      <c r="E206" s="23">
        <v>3</v>
      </c>
      <c r="F206" s="23" t="s">
        <v>52</v>
      </c>
      <c r="G206" s="23" t="s">
        <v>153</v>
      </c>
      <c r="H206" s="23">
        <v>1</v>
      </c>
      <c r="I206" s="23">
        <v>61</v>
      </c>
      <c r="J206" s="23">
        <v>8000</v>
      </c>
      <c r="K206" s="23">
        <v>40</v>
      </c>
      <c r="L206" s="23">
        <v>3</v>
      </c>
      <c r="M206" s="23" t="s">
        <v>160</v>
      </c>
      <c r="N206" s="23">
        <v>0</v>
      </c>
      <c r="P206" s="23">
        <v>0</v>
      </c>
      <c r="S206" s="23"/>
    </row>
    <row r="207" spans="1:19">
      <c r="A207" s="23" t="s">
        <v>96</v>
      </c>
      <c r="B207" s="23" t="s">
        <v>82</v>
      </c>
      <c r="C207" s="23" t="s">
        <v>21</v>
      </c>
      <c r="D207" s="23" t="s">
        <v>169</v>
      </c>
      <c r="E207" s="23">
        <v>3</v>
      </c>
      <c r="F207" s="23" t="s">
        <v>52</v>
      </c>
      <c r="G207" s="23" t="s">
        <v>154</v>
      </c>
      <c r="H207" s="23">
        <v>2</v>
      </c>
      <c r="I207" s="23">
        <v>61</v>
      </c>
      <c r="J207" s="23">
        <v>8000</v>
      </c>
      <c r="K207" s="23">
        <v>40</v>
      </c>
      <c r="L207" s="23">
        <v>3</v>
      </c>
      <c r="M207" s="23" t="s">
        <v>161</v>
      </c>
      <c r="N207" s="23">
        <v>1</v>
      </c>
      <c r="O207" s="23" t="s">
        <v>193</v>
      </c>
      <c r="P207" s="23">
        <v>1</v>
      </c>
      <c r="Q207" s="23" t="s">
        <v>193</v>
      </c>
      <c r="S207" s="23"/>
    </row>
    <row r="208" spans="1:19">
      <c r="A208" s="23" t="s">
        <v>96</v>
      </c>
      <c r="B208" s="23" t="s">
        <v>82</v>
      </c>
      <c r="C208" s="23" t="s">
        <v>21</v>
      </c>
      <c r="D208" s="23" t="s">
        <v>169</v>
      </c>
      <c r="E208" s="23">
        <v>3</v>
      </c>
      <c r="F208" s="23" t="s">
        <v>51</v>
      </c>
      <c r="G208" s="23" t="s">
        <v>155</v>
      </c>
      <c r="H208" s="23">
        <v>3</v>
      </c>
      <c r="I208" s="23">
        <v>61</v>
      </c>
      <c r="J208" s="23">
        <v>8000</v>
      </c>
      <c r="K208" s="23">
        <v>40</v>
      </c>
      <c r="L208" s="23">
        <v>3</v>
      </c>
      <c r="M208" s="23" t="s">
        <v>161</v>
      </c>
      <c r="N208" s="23">
        <v>1</v>
      </c>
      <c r="O208" s="23" t="s">
        <v>193</v>
      </c>
      <c r="P208" s="23">
        <v>1</v>
      </c>
      <c r="Q208" s="23" t="s">
        <v>193</v>
      </c>
      <c r="S208" s="23"/>
    </row>
    <row r="209" spans="1:19">
      <c r="A209" s="23" t="s">
        <v>96</v>
      </c>
      <c r="B209" s="23" t="s">
        <v>82</v>
      </c>
      <c r="C209" s="23" t="s">
        <v>21</v>
      </c>
      <c r="D209" s="23" t="s">
        <v>169</v>
      </c>
      <c r="E209" s="23">
        <v>3</v>
      </c>
      <c r="F209" s="23" t="s">
        <v>51</v>
      </c>
      <c r="G209" s="23" t="s">
        <v>156</v>
      </c>
      <c r="H209" s="23">
        <v>4</v>
      </c>
      <c r="I209" s="23">
        <v>61</v>
      </c>
      <c r="J209" s="23">
        <v>8000</v>
      </c>
      <c r="K209" s="23">
        <v>40</v>
      </c>
      <c r="L209" s="23">
        <v>3</v>
      </c>
      <c r="M209" s="23" t="s">
        <v>160</v>
      </c>
      <c r="N209" s="23">
        <v>0</v>
      </c>
      <c r="P209" s="23">
        <v>0</v>
      </c>
      <c r="S209" s="23"/>
    </row>
    <row r="210" spans="1:19">
      <c r="A210" s="23" t="s">
        <v>96</v>
      </c>
      <c r="B210" s="23" t="s">
        <v>82</v>
      </c>
      <c r="C210" s="23" t="s">
        <v>21</v>
      </c>
      <c r="D210" s="23" t="s">
        <v>169</v>
      </c>
      <c r="E210" s="23">
        <v>3</v>
      </c>
      <c r="F210" s="23" t="s">
        <v>51</v>
      </c>
      <c r="G210" s="23" t="s">
        <v>157</v>
      </c>
      <c r="H210" s="23">
        <v>5</v>
      </c>
      <c r="I210" s="23">
        <v>61</v>
      </c>
      <c r="J210" s="23">
        <v>8000</v>
      </c>
      <c r="K210" s="23">
        <v>40</v>
      </c>
      <c r="L210" s="23">
        <v>3</v>
      </c>
      <c r="M210" s="23" t="s">
        <v>161</v>
      </c>
      <c r="N210" s="23">
        <v>1</v>
      </c>
      <c r="O210" s="23" t="s">
        <v>193</v>
      </c>
      <c r="P210" s="23">
        <v>1</v>
      </c>
      <c r="Q210" s="23" t="s">
        <v>193</v>
      </c>
      <c r="S210" s="26"/>
    </row>
    <row r="211" spans="1:19">
      <c r="A211" s="23" t="s">
        <v>96</v>
      </c>
      <c r="B211" s="23" t="s">
        <v>82</v>
      </c>
      <c r="C211" s="23" t="s">
        <v>21</v>
      </c>
      <c r="D211" s="23" t="s">
        <v>169</v>
      </c>
      <c r="E211" s="23">
        <v>3</v>
      </c>
      <c r="F211" s="23" t="s">
        <v>51</v>
      </c>
      <c r="G211" s="23" t="s">
        <v>158</v>
      </c>
      <c r="H211" s="23">
        <v>6</v>
      </c>
      <c r="I211" s="23">
        <v>61</v>
      </c>
      <c r="J211" s="23">
        <v>8000</v>
      </c>
      <c r="K211" s="23">
        <v>40</v>
      </c>
      <c r="L211" s="23">
        <v>3</v>
      </c>
      <c r="M211" s="23" t="s">
        <v>160</v>
      </c>
      <c r="N211" s="23">
        <v>1</v>
      </c>
      <c r="O211" s="23" t="s">
        <v>193</v>
      </c>
      <c r="P211" s="23">
        <v>1</v>
      </c>
      <c r="Q211" s="23" t="s">
        <v>193</v>
      </c>
      <c r="R211" s="23">
        <v>0</v>
      </c>
      <c r="S211" s="26">
        <v>17.032270048672203</v>
      </c>
    </row>
    <row r="212" spans="1:19">
      <c r="A212" s="23" t="s">
        <v>96</v>
      </c>
      <c r="B212" s="23" t="s">
        <v>82</v>
      </c>
      <c r="C212" s="23" t="s">
        <v>14</v>
      </c>
      <c r="D212" s="23" t="s">
        <v>169</v>
      </c>
      <c r="E212" s="23">
        <v>2</v>
      </c>
      <c r="F212" s="23" t="s">
        <v>58</v>
      </c>
      <c r="G212" s="23" t="s">
        <v>156</v>
      </c>
      <c r="H212" s="23">
        <v>1</v>
      </c>
      <c r="I212" s="23">
        <v>61</v>
      </c>
      <c r="J212" s="23">
        <v>8000</v>
      </c>
      <c r="K212" s="23">
        <v>40</v>
      </c>
      <c r="L212" s="23">
        <v>2</v>
      </c>
      <c r="M212" s="23" t="s">
        <v>161</v>
      </c>
      <c r="N212" s="23">
        <v>0</v>
      </c>
      <c r="P212" s="23">
        <v>0</v>
      </c>
      <c r="S212" s="23"/>
    </row>
    <row r="213" spans="1:19">
      <c r="A213" s="23" t="s">
        <v>96</v>
      </c>
      <c r="B213" s="23" t="s">
        <v>82</v>
      </c>
      <c r="C213" s="23" t="s">
        <v>14</v>
      </c>
      <c r="D213" s="23" t="s">
        <v>169</v>
      </c>
      <c r="E213" s="23">
        <v>2</v>
      </c>
      <c r="F213" s="23" t="s">
        <v>58</v>
      </c>
      <c r="G213" s="23" t="s">
        <v>157</v>
      </c>
      <c r="H213" s="23">
        <v>2</v>
      </c>
      <c r="I213" s="23">
        <v>61</v>
      </c>
      <c r="J213" s="23">
        <v>8000</v>
      </c>
      <c r="K213" s="23">
        <v>40</v>
      </c>
      <c r="L213" s="23">
        <v>2</v>
      </c>
      <c r="M213" s="23" t="s">
        <v>160</v>
      </c>
      <c r="N213" s="23">
        <v>0</v>
      </c>
      <c r="P213" s="23">
        <v>0</v>
      </c>
      <c r="S213" s="23"/>
    </row>
    <row r="214" spans="1:19">
      <c r="A214" s="23" t="s">
        <v>96</v>
      </c>
      <c r="B214" s="23" t="s">
        <v>82</v>
      </c>
      <c r="C214" s="23" t="s">
        <v>14</v>
      </c>
      <c r="D214" s="23" t="s">
        <v>169</v>
      </c>
      <c r="E214" s="23">
        <v>2</v>
      </c>
      <c r="F214" s="23" t="s">
        <v>58</v>
      </c>
      <c r="G214" s="23" t="s">
        <v>153</v>
      </c>
      <c r="H214" s="23">
        <v>3</v>
      </c>
      <c r="I214" s="23">
        <v>61</v>
      </c>
      <c r="J214" s="23">
        <v>8000</v>
      </c>
      <c r="K214" s="23">
        <v>40</v>
      </c>
      <c r="L214" s="23">
        <v>2</v>
      </c>
      <c r="M214" s="23" t="s">
        <v>161</v>
      </c>
      <c r="N214" s="23">
        <v>0</v>
      </c>
      <c r="P214" s="23">
        <v>0</v>
      </c>
      <c r="S214" s="23"/>
    </row>
    <row r="215" spans="1:19">
      <c r="A215" s="23" t="s">
        <v>96</v>
      </c>
      <c r="B215" s="23" t="s">
        <v>82</v>
      </c>
      <c r="C215" s="23" t="s">
        <v>14</v>
      </c>
      <c r="D215" s="23" t="s">
        <v>169</v>
      </c>
      <c r="E215" s="23">
        <v>2</v>
      </c>
      <c r="F215" s="23" t="s">
        <v>58</v>
      </c>
      <c r="G215" s="23" t="s">
        <v>158</v>
      </c>
      <c r="H215" s="23">
        <v>4</v>
      </c>
      <c r="I215" s="23">
        <v>61</v>
      </c>
      <c r="J215" s="23">
        <v>8000</v>
      </c>
      <c r="K215" s="23">
        <v>40</v>
      </c>
      <c r="L215" s="23">
        <v>2</v>
      </c>
      <c r="M215" s="23" t="s">
        <v>161</v>
      </c>
      <c r="N215" s="23">
        <v>0</v>
      </c>
      <c r="P215" s="23">
        <v>0</v>
      </c>
      <c r="S215" s="23"/>
    </row>
    <row r="216" spans="1:19">
      <c r="A216" s="23" t="s">
        <v>96</v>
      </c>
      <c r="B216" s="23" t="s">
        <v>82</v>
      </c>
      <c r="C216" s="23" t="s">
        <v>14</v>
      </c>
      <c r="D216" s="23" t="s">
        <v>169</v>
      </c>
      <c r="E216" s="23">
        <v>2</v>
      </c>
      <c r="F216" s="23" t="s">
        <v>58</v>
      </c>
      <c r="G216" s="23" t="s">
        <v>155</v>
      </c>
      <c r="H216" s="23">
        <v>5</v>
      </c>
      <c r="I216" s="23">
        <v>61</v>
      </c>
      <c r="J216" s="23">
        <v>8000</v>
      </c>
      <c r="K216" s="23">
        <v>40</v>
      </c>
      <c r="L216" s="23">
        <v>2</v>
      </c>
      <c r="M216" s="23" t="s">
        <v>160</v>
      </c>
      <c r="N216" s="23">
        <v>0</v>
      </c>
      <c r="P216" s="23">
        <v>0</v>
      </c>
      <c r="S216" s="26"/>
    </row>
    <row r="217" spans="1:19">
      <c r="A217" s="23" t="s">
        <v>96</v>
      </c>
      <c r="B217" s="23" t="s">
        <v>82</v>
      </c>
      <c r="C217" s="23" t="s">
        <v>14</v>
      </c>
      <c r="D217" s="23" t="s">
        <v>169</v>
      </c>
      <c r="E217" s="23">
        <v>2</v>
      </c>
      <c r="F217" s="23" t="s">
        <v>58</v>
      </c>
      <c r="G217" s="23" t="s">
        <v>154</v>
      </c>
      <c r="H217" s="23">
        <v>6</v>
      </c>
      <c r="I217" s="23">
        <v>61</v>
      </c>
      <c r="J217" s="23">
        <v>8000</v>
      </c>
      <c r="K217" s="23">
        <v>40</v>
      </c>
      <c r="L217" s="23">
        <v>2</v>
      </c>
      <c r="M217" s="23" t="s">
        <v>160</v>
      </c>
      <c r="N217" s="23">
        <v>1</v>
      </c>
      <c r="O217" s="23" t="s">
        <v>190</v>
      </c>
      <c r="P217" s="23">
        <v>1</v>
      </c>
      <c r="R217" s="23">
        <v>0</v>
      </c>
      <c r="S217" s="26">
        <v>6.8031356600489019</v>
      </c>
    </row>
    <row r="218" spans="1:19">
      <c r="A218" s="23" t="s">
        <v>39</v>
      </c>
      <c r="B218" s="23" t="s">
        <v>82</v>
      </c>
      <c r="C218" s="23" t="s">
        <v>14</v>
      </c>
      <c r="D218" s="23" t="s">
        <v>173</v>
      </c>
      <c r="E218" s="23">
        <v>1</v>
      </c>
      <c r="F218" s="23" t="s">
        <v>50</v>
      </c>
      <c r="G218" s="23" t="s">
        <v>147</v>
      </c>
      <c r="H218" s="23">
        <v>1</v>
      </c>
      <c r="I218" s="23">
        <v>34</v>
      </c>
      <c r="J218" s="23">
        <v>10000</v>
      </c>
      <c r="K218" s="23">
        <v>16</v>
      </c>
      <c r="L218" s="23">
        <v>1</v>
      </c>
      <c r="M218" s="23" t="s">
        <v>160</v>
      </c>
      <c r="N218" s="23">
        <v>0</v>
      </c>
      <c r="P218" s="23">
        <v>0</v>
      </c>
      <c r="S218" s="23"/>
    </row>
    <row r="219" spans="1:19">
      <c r="A219" s="23" t="s">
        <v>39</v>
      </c>
      <c r="B219" s="23" t="s">
        <v>82</v>
      </c>
      <c r="C219" s="23" t="s">
        <v>14</v>
      </c>
      <c r="D219" s="23" t="s">
        <v>173</v>
      </c>
      <c r="E219" s="23">
        <v>1</v>
      </c>
      <c r="F219" s="23" t="s">
        <v>50</v>
      </c>
      <c r="G219" s="23" t="s">
        <v>148</v>
      </c>
      <c r="H219" s="23">
        <v>2</v>
      </c>
      <c r="I219" s="23">
        <v>34</v>
      </c>
      <c r="J219" s="23">
        <v>10000</v>
      </c>
      <c r="K219" s="23">
        <v>16</v>
      </c>
      <c r="L219" s="23">
        <v>1</v>
      </c>
      <c r="M219" s="23" t="s">
        <v>161</v>
      </c>
      <c r="N219" s="23">
        <v>0</v>
      </c>
      <c r="P219" s="23">
        <v>0</v>
      </c>
      <c r="S219" s="23"/>
    </row>
    <row r="220" spans="1:19">
      <c r="A220" s="23" t="s">
        <v>97</v>
      </c>
      <c r="B220" s="23" t="s">
        <v>82</v>
      </c>
      <c r="C220" s="23" t="s">
        <v>14</v>
      </c>
      <c r="D220" s="23" t="s">
        <v>164</v>
      </c>
      <c r="E220" s="23">
        <v>1</v>
      </c>
      <c r="F220" s="23" t="s">
        <v>50</v>
      </c>
      <c r="G220" s="23" t="s">
        <v>149</v>
      </c>
      <c r="H220" s="23">
        <v>3</v>
      </c>
      <c r="I220" s="23">
        <v>34</v>
      </c>
      <c r="J220" s="23">
        <v>10000</v>
      </c>
      <c r="K220" s="23">
        <v>16</v>
      </c>
      <c r="L220" s="23">
        <v>1</v>
      </c>
      <c r="M220" s="23" t="s">
        <v>160</v>
      </c>
      <c r="N220" s="23">
        <v>0</v>
      </c>
      <c r="P220" s="23">
        <v>0</v>
      </c>
      <c r="S220" s="23"/>
    </row>
    <row r="221" spans="1:19">
      <c r="A221" s="23" t="s">
        <v>97</v>
      </c>
      <c r="B221" s="23" t="s">
        <v>82</v>
      </c>
      <c r="C221" s="23" t="s">
        <v>14</v>
      </c>
      <c r="D221" s="23" t="s">
        <v>164</v>
      </c>
      <c r="E221" s="23">
        <v>1</v>
      </c>
      <c r="F221" s="23" t="s">
        <v>50</v>
      </c>
      <c r="G221" s="23" t="s">
        <v>150</v>
      </c>
      <c r="H221" s="23">
        <v>4</v>
      </c>
      <c r="I221" s="23">
        <v>34</v>
      </c>
      <c r="J221" s="23">
        <v>10000</v>
      </c>
      <c r="K221" s="23">
        <v>16</v>
      </c>
      <c r="L221" s="23">
        <v>1</v>
      </c>
      <c r="M221" s="23" t="s">
        <v>161</v>
      </c>
      <c r="N221" s="23">
        <v>0</v>
      </c>
      <c r="P221" s="23">
        <v>0</v>
      </c>
      <c r="S221" s="23"/>
    </row>
    <row r="222" spans="1:19">
      <c r="A222" s="23" t="s">
        <v>97</v>
      </c>
      <c r="B222" s="23" t="s">
        <v>82</v>
      </c>
      <c r="C222" s="23" t="s">
        <v>14</v>
      </c>
      <c r="D222" s="23" t="s">
        <v>164</v>
      </c>
      <c r="E222" s="23">
        <v>1</v>
      </c>
      <c r="F222" s="23" t="s">
        <v>50</v>
      </c>
      <c r="G222" s="23" t="s">
        <v>151</v>
      </c>
      <c r="H222" s="23">
        <v>5</v>
      </c>
      <c r="I222" s="23">
        <v>34</v>
      </c>
      <c r="J222" s="23">
        <v>10000</v>
      </c>
      <c r="K222" s="23">
        <v>16</v>
      </c>
      <c r="L222" s="23">
        <v>1</v>
      </c>
      <c r="M222" s="23" t="s">
        <v>161</v>
      </c>
      <c r="N222" s="23">
        <v>0</v>
      </c>
      <c r="P222" s="23">
        <v>0</v>
      </c>
      <c r="S222" s="23"/>
    </row>
    <row r="223" spans="1:19">
      <c r="A223" s="23" t="s">
        <v>97</v>
      </c>
      <c r="B223" s="23" t="s">
        <v>82</v>
      </c>
      <c r="C223" s="23" t="s">
        <v>14</v>
      </c>
      <c r="D223" s="23" t="s">
        <v>164</v>
      </c>
      <c r="E223" s="23">
        <v>1</v>
      </c>
      <c r="F223" s="23" t="s">
        <v>50</v>
      </c>
      <c r="G223" s="23" t="s">
        <v>152</v>
      </c>
      <c r="H223" s="23">
        <v>6</v>
      </c>
      <c r="I223" s="23">
        <v>34</v>
      </c>
      <c r="J223" s="23">
        <v>10000</v>
      </c>
      <c r="K223" s="23">
        <v>16</v>
      </c>
      <c r="L223" s="23">
        <v>1</v>
      </c>
      <c r="M223" s="23" t="s">
        <v>160</v>
      </c>
      <c r="N223" s="23">
        <v>1</v>
      </c>
      <c r="O223" s="23" t="s">
        <v>190</v>
      </c>
      <c r="P223" s="23">
        <v>1</v>
      </c>
      <c r="R223" s="23">
        <v>0</v>
      </c>
      <c r="S223" s="23">
        <v>2.5278402328429719</v>
      </c>
    </row>
    <row r="224" spans="1:19">
      <c r="A224" s="23" t="s">
        <v>97</v>
      </c>
      <c r="B224" s="23" t="s">
        <v>82</v>
      </c>
      <c r="C224" s="23" t="s">
        <v>21</v>
      </c>
      <c r="D224" s="23" t="s">
        <v>164</v>
      </c>
      <c r="E224" s="23">
        <v>3</v>
      </c>
      <c r="F224" s="23" t="s">
        <v>52</v>
      </c>
      <c r="G224" s="23" t="s">
        <v>153</v>
      </c>
      <c r="H224" s="23">
        <v>1</v>
      </c>
      <c r="I224" s="23">
        <v>34</v>
      </c>
      <c r="J224" s="23">
        <v>10000</v>
      </c>
      <c r="K224" s="23">
        <v>16</v>
      </c>
      <c r="L224" s="23">
        <v>3</v>
      </c>
      <c r="M224" s="23" t="s">
        <v>160</v>
      </c>
      <c r="N224" s="23">
        <v>0</v>
      </c>
      <c r="P224" s="23">
        <v>0</v>
      </c>
      <c r="S224" s="23"/>
    </row>
    <row r="225" spans="1:19">
      <c r="A225" s="23" t="s">
        <v>97</v>
      </c>
      <c r="B225" s="23" t="s">
        <v>82</v>
      </c>
      <c r="C225" s="23" t="s">
        <v>21</v>
      </c>
      <c r="D225" s="23" t="s">
        <v>164</v>
      </c>
      <c r="E225" s="23">
        <v>3</v>
      </c>
      <c r="F225" s="23" t="s">
        <v>52</v>
      </c>
      <c r="G225" s="23" t="s">
        <v>154</v>
      </c>
      <c r="H225" s="23">
        <v>2</v>
      </c>
      <c r="I225" s="23">
        <v>34</v>
      </c>
      <c r="J225" s="23">
        <v>10000</v>
      </c>
      <c r="K225" s="23">
        <v>16</v>
      </c>
      <c r="L225" s="23">
        <v>3</v>
      </c>
      <c r="M225" s="23" t="s">
        <v>161</v>
      </c>
      <c r="N225" s="23">
        <v>0</v>
      </c>
      <c r="P225" s="23">
        <v>0</v>
      </c>
      <c r="S225" s="23"/>
    </row>
    <row r="226" spans="1:19">
      <c r="A226" s="23" t="s">
        <v>97</v>
      </c>
      <c r="B226" s="23" t="s">
        <v>82</v>
      </c>
      <c r="C226" s="23" t="s">
        <v>21</v>
      </c>
      <c r="D226" s="23" t="s">
        <v>164</v>
      </c>
      <c r="E226" s="23">
        <v>3</v>
      </c>
      <c r="F226" s="23" t="s">
        <v>51</v>
      </c>
      <c r="G226" s="23" t="s">
        <v>155</v>
      </c>
      <c r="H226" s="23">
        <v>3</v>
      </c>
      <c r="I226" s="23">
        <v>34</v>
      </c>
      <c r="J226" s="23">
        <v>10000</v>
      </c>
      <c r="K226" s="23">
        <v>16</v>
      </c>
      <c r="L226" s="23">
        <v>3</v>
      </c>
      <c r="M226" s="23" t="s">
        <v>161</v>
      </c>
      <c r="N226" s="23">
        <v>0</v>
      </c>
      <c r="P226" s="23">
        <v>0</v>
      </c>
      <c r="S226" s="23"/>
    </row>
    <row r="227" spans="1:19">
      <c r="A227" s="23" t="s">
        <v>97</v>
      </c>
      <c r="B227" s="23" t="s">
        <v>82</v>
      </c>
      <c r="C227" s="23" t="s">
        <v>21</v>
      </c>
      <c r="D227" s="23" t="s">
        <v>164</v>
      </c>
      <c r="E227" s="23">
        <v>3</v>
      </c>
      <c r="F227" s="23" t="s">
        <v>51</v>
      </c>
      <c r="G227" s="23" t="s">
        <v>156</v>
      </c>
      <c r="H227" s="23">
        <v>4</v>
      </c>
      <c r="I227" s="23">
        <v>34</v>
      </c>
      <c r="J227" s="23">
        <v>10000</v>
      </c>
      <c r="K227" s="23">
        <v>16</v>
      </c>
      <c r="L227" s="23">
        <v>3</v>
      </c>
      <c r="M227" s="23" t="s">
        <v>160</v>
      </c>
      <c r="N227" s="23">
        <v>0</v>
      </c>
      <c r="P227" s="23">
        <v>0</v>
      </c>
      <c r="S227" s="23"/>
    </row>
    <row r="228" spans="1:19">
      <c r="A228" s="23" t="s">
        <v>97</v>
      </c>
      <c r="B228" s="23" t="s">
        <v>82</v>
      </c>
      <c r="C228" s="23" t="s">
        <v>21</v>
      </c>
      <c r="D228" s="23" t="s">
        <v>164</v>
      </c>
      <c r="E228" s="23">
        <v>3</v>
      </c>
      <c r="F228" s="23" t="s">
        <v>51</v>
      </c>
      <c r="G228" s="23" t="s">
        <v>157</v>
      </c>
      <c r="H228" s="23">
        <v>5</v>
      </c>
      <c r="I228" s="23">
        <v>34</v>
      </c>
      <c r="J228" s="23">
        <v>10000</v>
      </c>
      <c r="K228" s="23">
        <v>16</v>
      </c>
      <c r="L228" s="23">
        <v>3</v>
      </c>
      <c r="M228" s="23" t="s">
        <v>161</v>
      </c>
      <c r="N228" s="23">
        <v>0</v>
      </c>
      <c r="P228" s="23">
        <v>0</v>
      </c>
      <c r="S228" s="26"/>
    </row>
    <row r="229" spans="1:19">
      <c r="A229" s="23" t="s">
        <v>97</v>
      </c>
      <c r="B229" s="23" t="s">
        <v>82</v>
      </c>
      <c r="C229" s="23" t="s">
        <v>21</v>
      </c>
      <c r="D229" s="23" t="s">
        <v>164</v>
      </c>
      <c r="E229" s="23">
        <v>3</v>
      </c>
      <c r="F229" s="23" t="s">
        <v>51</v>
      </c>
      <c r="G229" s="23" t="s">
        <v>158</v>
      </c>
      <c r="H229" s="23">
        <v>6</v>
      </c>
      <c r="I229" s="23">
        <v>34</v>
      </c>
      <c r="J229" s="23">
        <v>10000</v>
      </c>
      <c r="K229" s="23">
        <v>16</v>
      </c>
      <c r="L229" s="23">
        <v>3</v>
      </c>
      <c r="M229" s="23" t="s">
        <v>160</v>
      </c>
      <c r="N229" s="23">
        <v>1</v>
      </c>
      <c r="O229" s="23" t="s">
        <v>190</v>
      </c>
      <c r="P229" s="23">
        <v>1</v>
      </c>
      <c r="Q229" s="23" t="s">
        <v>190</v>
      </c>
      <c r="R229" s="23">
        <v>0</v>
      </c>
      <c r="S229" s="26">
        <v>5.5284745533291808</v>
      </c>
    </row>
    <row r="230" spans="1:19">
      <c r="A230" s="23" t="s">
        <v>97</v>
      </c>
      <c r="B230" s="23" t="s">
        <v>82</v>
      </c>
      <c r="C230" s="23" t="s">
        <v>22</v>
      </c>
      <c r="D230" s="23" t="s">
        <v>164</v>
      </c>
      <c r="E230" s="23">
        <v>2</v>
      </c>
      <c r="F230" s="23" t="s">
        <v>58</v>
      </c>
      <c r="G230" s="23" t="s">
        <v>156</v>
      </c>
      <c r="H230" s="23">
        <v>1</v>
      </c>
      <c r="I230" s="23">
        <v>34</v>
      </c>
      <c r="J230" s="23">
        <v>10000</v>
      </c>
      <c r="K230" s="23">
        <v>16</v>
      </c>
      <c r="L230" s="23">
        <v>2</v>
      </c>
      <c r="M230" s="23" t="s">
        <v>161</v>
      </c>
      <c r="N230" s="23">
        <v>0</v>
      </c>
      <c r="P230" s="23">
        <v>0</v>
      </c>
      <c r="S230" s="23"/>
    </row>
    <row r="231" spans="1:19">
      <c r="A231" s="23" t="s">
        <v>97</v>
      </c>
      <c r="B231" s="23" t="s">
        <v>82</v>
      </c>
      <c r="C231" s="23" t="s">
        <v>22</v>
      </c>
      <c r="D231" s="23" t="s">
        <v>164</v>
      </c>
      <c r="E231" s="23">
        <v>2</v>
      </c>
      <c r="F231" s="23" t="s">
        <v>58</v>
      </c>
      <c r="G231" s="23" t="s">
        <v>157</v>
      </c>
      <c r="H231" s="23">
        <v>2</v>
      </c>
      <c r="I231" s="23">
        <v>34</v>
      </c>
      <c r="J231" s="23">
        <v>10000</v>
      </c>
      <c r="K231" s="23">
        <v>16</v>
      </c>
      <c r="L231" s="23">
        <v>2</v>
      </c>
      <c r="M231" s="23" t="s">
        <v>160</v>
      </c>
      <c r="N231" s="23">
        <v>0</v>
      </c>
      <c r="P231" s="23">
        <v>0</v>
      </c>
      <c r="S231" s="23"/>
    </row>
    <row r="232" spans="1:19">
      <c r="A232" s="23" t="s">
        <v>97</v>
      </c>
      <c r="B232" s="23" t="s">
        <v>82</v>
      </c>
      <c r="C232" s="23" t="s">
        <v>22</v>
      </c>
      <c r="D232" s="23" t="s">
        <v>164</v>
      </c>
      <c r="E232" s="23">
        <v>2</v>
      </c>
      <c r="F232" s="23" t="s">
        <v>58</v>
      </c>
      <c r="G232" s="23" t="s">
        <v>153</v>
      </c>
      <c r="H232" s="23">
        <v>3</v>
      </c>
      <c r="I232" s="23">
        <v>34</v>
      </c>
      <c r="J232" s="23">
        <v>10000</v>
      </c>
      <c r="K232" s="23">
        <v>16</v>
      </c>
      <c r="L232" s="23">
        <v>2</v>
      </c>
      <c r="M232" s="23" t="s">
        <v>161</v>
      </c>
      <c r="N232" s="23">
        <v>0</v>
      </c>
      <c r="P232" s="23">
        <v>0</v>
      </c>
      <c r="S232" s="23"/>
    </row>
    <row r="233" spans="1:19">
      <c r="A233" s="23" t="s">
        <v>97</v>
      </c>
      <c r="B233" s="23" t="s">
        <v>82</v>
      </c>
      <c r="C233" s="23" t="s">
        <v>22</v>
      </c>
      <c r="D233" s="23" t="s">
        <v>164</v>
      </c>
      <c r="E233" s="23">
        <v>2</v>
      </c>
      <c r="F233" s="23" t="s">
        <v>58</v>
      </c>
      <c r="G233" s="23" t="s">
        <v>158</v>
      </c>
      <c r="H233" s="23">
        <v>4</v>
      </c>
      <c r="I233" s="23">
        <v>34</v>
      </c>
      <c r="J233" s="23">
        <v>10000</v>
      </c>
      <c r="K233" s="23">
        <v>16</v>
      </c>
      <c r="L233" s="23">
        <v>2</v>
      </c>
      <c r="M233" s="23" t="s">
        <v>161</v>
      </c>
      <c r="N233" s="23">
        <v>0</v>
      </c>
      <c r="P233" s="23">
        <v>0</v>
      </c>
      <c r="S233" s="23"/>
    </row>
    <row r="234" spans="1:19">
      <c r="A234" s="23" t="s">
        <v>97</v>
      </c>
      <c r="B234" s="23" t="s">
        <v>82</v>
      </c>
      <c r="C234" s="23" t="s">
        <v>22</v>
      </c>
      <c r="D234" s="23" t="s">
        <v>164</v>
      </c>
      <c r="E234" s="23">
        <v>2</v>
      </c>
      <c r="F234" s="23" t="s">
        <v>58</v>
      </c>
      <c r="G234" s="23" t="s">
        <v>155</v>
      </c>
      <c r="H234" s="23">
        <v>5</v>
      </c>
      <c r="I234" s="23">
        <v>34</v>
      </c>
      <c r="J234" s="23">
        <v>10000</v>
      </c>
      <c r="K234" s="23">
        <v>16</v>
      </c>
      <c r="L234" s="23">
        <v>2</v>
      </c>
      <c r="M234" s="23" t="s">
        <v>160</v>
      </c>
      <c r="N234" s="23">
        <v>0</v>
      </c>
      <c r="P234" s="23">
        <v>0</v>
      </c>
      <c r="S234" s="26"/>
    </row>
    <row r="235" spans="1:19">
      <c r="A235" s="23" t="s">
        <v>97</v>
      </c>
      <c r="B235" s="23" t="s">
        <v>82</v>
      </c>
      <c r="C235" s="23" t="s">
        <v>22</v>
      </c>
      <c r="D235" s="23" t="s">
        <v>164</v>
      </c>
      <c r="E235" s="23">
        <v>2</v>
      </c>
      <c r="F235" s="23" t="s">
        <v>58</v>
      </c>
      <c r="G235" s="23" t="s">
        <v>154</v>
      </c>
      <c r="H235" s="23">
        <v>6</v>
      </c>
      <c r="I235" s="23">
        <v>34</v>
      </c>
      <c r="J235" s="23">
        <v>10000</v>
      </c>
      <c r="K235" s="23">
        <v>16</v>
      </c>
      <c r="L235" s="23">
        <v>2</v>
      </c>
      <c r="M235" s="23" t="s">
        <v>160</v>
      </c>
      <c r="N235" s="23">
        <v>1</v>
      </c>
      <c r="O235" s="23" t="s">
        <v>190</v>
      </c>
      <c r="P235" s="23">
        <v>1</v>
      </c>
      <c r="Q235" s="23" t="s">
        <v>190</v>
      </c>
      <c r="R235" s="23">
        <v>0</v>
      </c>
      <c r="S235" s="26">
        <v>3.1539807318942432</v>
      </c>
    </row>
    <row r="236" spans="1:19">
      <c r="A236" s="23" t="s">
        <v>40</v>
      </c>
      <c r="B236" s="23" t="s">
        <v>82</v>
      </c>
      <c r="C236" s="23" t="s">
        <v>22</v>
      </c>
      <c r="D236" s="23" t="s">
        <v>174</v>
      </c>
      <c r="E236" s="23">
        <v>1</v>
      </c>
      <c r="F236" s="23" t="s">
        <v>50</v>
      </c>
      <c r="G236" s="23" t="s">
        <v>147</v>
      </c>
      <c r="H236" s="23">
        <v>1</v>
      </c>
      <c r="I236" s="23">
        <v>28</v>
      </c>
      <c r="J236" s="23">
        <v>10000</v>
      </c>
      <c r="K236" s="23">
        <v>3</v>
      </c>
      <c r="L236" s="23">
        <v>1</v>
      </c>
      <c r="M236" s="23" t="s">
        <v>160</v>
      </c>
      <c r="N236" s="23">
        <v>0</v>
      </c>
      <c r="P236" s="23">
        <v>0</v>
      </c>
      <c r="S236" s="23"/>
    </row>
    <row r="237" spans="1:19">
      <c r="A237" s="23" t="s">
        <v>40</v>
      </c>
      <c r="B237" s="23" t="s">
        <v>82</v>
      </c>
      <c r="C237" s="23" t="s">
        <v>22</v>
      </c>
      <c r="D237" s="23" t="s">
        <v>174</v>
      </c>
      <c r="E237" s="23">
        <v>1</v>
      </c>
      <c r="F237" s="23" t="s">
        <v>50</v>
      </c>
      <c r="G237" s="23" t="s">
        <v>148</v>
      </c>
      <c r="H237" s="23">
        <v>2</v>
      </c>
      <c r="I237" s="23">
        <v>28</v>
      </c>
      <c r="J237" s="23">
        <v>10000</v>
      </c>
      <c r="K237" s="23">
        <v>3</v>
      </c>
      <c r="L237" s="23">
        <v>1</v>
      </c>
      <c r="M237" s="23" t="s">
        <v>161</v>
      </c>
      <c r="N237" s="23">
        <v>0</v>
      </c>
      <c r="P237" s="23">
        <v>0</v>
      </c>
      <c r="S237" s="23"/>
    </row>
    <row r="238" spans="1:19">
      <c r="A238" s="23" t="s">
        <v>98</v>
      </c>
      <c r="B238" s="23" t="s">
        <v>82</v>
      </c>
      <c r="C238" s="23" t="s">
        <v>22</v>
      </c>
      <c r="D238" s="23" t="s">
        <v>165</v>
      </c>
      <c r="E238" s="23">
        <v>1</v>
      </c>
      <c r="F238" s="23" t="s">
        <v>50</v>
      </c>
      <c r="G238" s="23" t="s">
        <v>149</v>
      </c>
      <c r="H238" s="23">
        <v>3</v>
      </c>
      <c r="I238" s="23">
        <v>28</v>
      </c>
      <c r="J238" s="23">
        <v>10000</v>
      </c>
      <c r="K238" s="23">
        <v>3</v>
      </c>
      <c r="L238" s="23">
        <v>1</v>
      </c>
      <c r="M238" s="23" t="s">
        <v>160</v>
      </c>
      <c r="N238" s="23">
        <v>1</v>
      </c>
      <c r="O238" s="23" t="s">
        <v>190</v>
      </c>
      <c r="P238" s="23">
        <v>1</v>
      </c>
      <c r="Q238" s="23" t="s">
        <v>190</v>
      </c>
      <c r="S238" s="23"/>
    </row>
    <row r="239" spans="1:19">
      <c r="A239" s="23" t="s">
        <v>98</v>
      </c>
      <c r="B239" s="23" t="s">
        <v>82</v>
      </c>
      <c r="C239" s="23" t="s">
        <v>22</v>
      </c>
      <c r="D239" s="23" t="s">
        <v>165</v>
      </c>
      <c r="E239" s="23">
        <v>1</v>
      </c>
      <c r="F239" s="23" t="s">
        <v>50</v>
      </c>
      <c r="G239" s="23" t="s">
        <v>150</v>
      </c>
      <c r="H239" s="23">
        <v>4</v>
      </c>
      <c r="I239" s="23">
        <v>28</v>
      </c>
      <c r="J239" s="23">
        <v>10000</v>
      </c>
      <c r="K239" s="23">
        <v>3</v>
      </c>
      <c r="L239" s="23">
        <v>1</v>
      </c>
      <c r="M239" s="23" t="s">
        <v>161</v>
      </c>
      <c r="N239" s="23">
        <v>1</v>
      </c>
      <c r="O239" s="23" t="s">
        <v>190</v>
      </c>
      <c r="P239" s="23">
        <v>1</v>
      </c>
      <c r="Q239" s="23" t="s">
        <v>190</v>
      </c>
      <c r="S239" s="23"/>
    </row>
    <row r="240" spans="1:19">
      <c r="A240" s="23" t="s">
        <v>98</v>
      </c>
      <c r="B240" s="23" t="s">
        <v>82</v>
      </c>
      <c r="C240" s="23" t="s">
        <v>22</v>
      </c>
      <c r="D240" s="23" t="s">
        <v>165</v>
      </c>
      <c r="E240" s="23">
        <v>1</v>
      </c>
      <c r="F240" s="23" t="s">
        <v>50</v>
      </c>
      <c r="G240" s="23" t="s">
        <v>151</v>
      </c>
      <c r="H240" s="23">
        <v>5</v>
      </c>
      <c r="I240" s="23">
        <v>28</v>
      </c>
      <c r="J240" s="23">
        <v>10000</v>
      </c>
      <c r="K240" s="23">
        <v>3</v>
      </c>
      <c r="L240" s="23">
        <v>1</v>
      </c>
      <c r="M240" s="23" t="s">
        <v>161</v>
      </c>
      <c r="N240" s="23">
        <v>1</v>
      </c>
      <c r="O240" s="23" t="s">
        <v>190</v>
      </c>
      <c r="P240" s="23">
        <v>1</v>
      </c>
      <c r="Q240" s="23" t="s">
        <v>190</v>
      </c>
      <c r="S240" s="23"/>
    </row>
    <row r="241" spans="1:19">
      <c r="A241" s="23" t="s">
        <v>98</v>
      </c>
      <c r="B241" s="23" t="s">
        <v>82</v>
      </c>
      <c r="C241" s="23" t="s">
        <v>22</v>
      </c>
      <c r="D241" s="23" t="s">
        <v>165</v>
      </c>
      <c r="E241" s="23">
        <v>1</v>
      </c>
      <c r="F241" s="23" t="s">
        <v>50</v>
      </c>
      <c r="G241" s="23" t="s">
        <v>152</v>
      </c>
      <c r="H241" s="23">
        <v>6</v>
      </c>
      <c r="I241" s="23">
        <v>28</v>
      </c>
      <c r="J241" s="23">
        <v>10000</v>
      </c>
      <c r="K241" s="23">
        <v>3</v>
      </c>
      <c r="L241" s="23">
        <v>1</v>
      </c>
      <c r="M241" s="23" t="s">
        <v>160</v>
      </c>
      <c r="N241" s="23">
        <v>1</v>
      </c>
      <c r="O241" s="23" t="s">
        <v>190</v>
      </c>
      <c r="P241" s="23">
        <v>1</v>
      </c>
      <c r="Q241" s="23" t="s">
        <v>190</v>
      </c>
      <c r="R241" s="23">
        <v>0</v>
      </c>
      <c r="S241" s="23">
        <v>9.7543614265818501</v>
      </c>
    </row>
    <row r="242" spans="1:19">
      <c r="A242" s="23" t="s">
        <v>98</v>
      </c>
      <c r="B242" s="23" t="s">
        <v>82</v>
      </c>
      <c r="C242" s="23" t="s">
        <v>14</v>
      </c>
      <c r="D242" s="23" t="s">
        <v>165</v>
      </c>
      <c r="E242" s="23">
        <v>3</v>
      </c>
      <c r="F242" s="23" t="s">
        <v>52</v>
      </c>
      <c r="G242" s="23" t="s">
        <v>153</v>
      </c>
      <c r="H242" s="23">
        <v>1</v>
      </c>
      <c r="I242" s="23">
        <v>28</v>
      </c>
      <c r="J242" s="23">
        <v>10000</v>
      </c>
      <c r="K242" s="23">
        <v>3</v>
      </c>
      <c r="L242" s="23">
        <v>3</v>
      </c>
      <c r="M242" s="23" t="s">
        <v>160</v>
      </c>
      <c r="N242" s="23">
        <v>0</v>
      </c>
      <c r="P242" s="23">
        <v>0</v>
      </c>
      <c r="S242" s="23"/>
    </row>
    <row r="243" spans="1:19">
      <c r="A243" s="23" t="s">
        <v>98</v>
      </c>
      <c r="B243" s="23" t="s">
        <v>82</v>
      </c>
      <c r="C243" s="23" t="s">
        <v>14</v>
      </c>
      <c r="D243" s="23" t="s">
        <v>165</v>
      </c>
      <c r="E243" s="23">
        <v>3</v>
      </c>
      <c r="F243" s="23" t="s">
        <v>52</v>
      </c>
      <c r="G243" s="23" t="s">
        <v>154</v>
      </c>
      <c r="H243" s="23">
        <v>2</v>
      </c>
      <c r="I243" s="23">
        <v>28</v>
      </c>
      <c r="J243" s="23">
        <v>10000</v>
      </c>
      <c r="K243" s="23">
        <v>3</v>
      </c>
      <c r="L243" s="23">
        <v>3</v>
      </c>
      <c r="M243" s="23" t="s">
        <v>161</v>
      </c>
      <c r="N243" s="23">
        <v>1</v>
      </c>
      <c r="O243" s="23" t="s">
        <v>190</v>
      </c>
      <c r="P243" s="23">
        <v>1</v>
      </c>
      <c r="S243" s="23"/>
    </row>
    <row r="244" spans="1:19">
      <c r="A244" s="23" t="s">
        <v>98</v>
      </c>
      <c r="B244" s="23" t="s">
        <v>82</v>
      </c>
      <c r="C244" s="23" t="s">
        <v>14</v>
      </c>
      <c r="D244" s="23" t="s">
        <v>165</v>
      </c>
      <c r="E244" s="23">
        <v>3</v>
      </c>
      <c r="F244" s="23" t="s">
        <v>51</v>
      </c>
      <c r="G244" s="23" t="s">
        <v>155</v>
      </c>
      <c r="H244" s="23">
        <v>3</v>
      </c>
      <c r="I244" s="23">
        <v>28</v>
      </c>
      <c r="J244" s="23">
        <v>10000</v>
      </c>
      <c r="K244" s="23">
        <v>3</v>
      </c>
      <c r="L244" s="23">
        <v>3</v>
      </c>
      <c r="M244" s="23" t="s">
        <v>161</v>
      </c>
      <c r="N244" s="23">
        <v>1</v>
      </c>
      <c r="O244" s="23" t="s">
        <v>190</v>
      </c>
      <c r="P244" s="23">
        <v>1</v>
      </c>
      <c r="S244" s="23"/>
    </row>
    <row r="245" spans="1:19">
      <c r="A245" s="23" t="s">
        <v>98</v>
      </c>
      <c r="B245" s="23" t="s">
        <v>82</v>
      </c>
      <c r="C245" s="23" t="s">
        <v>14</v>
      </c>
      <c r="D245" s="23" t="s">
        <v>165</v>
      </c>
      <c r="E245" s="23">
        <v>3</v>
      </c>
      <c r="F245" s="23" t="s">
        <v>51</v>
      </c>
      <c r="G245" s="23" t="s">
        <v>156</v>
      </c>
      <c r="H245" s="23">
        <v>4</v>
      </c>
      <c r="I245" s="23">
        <v>28</v>
      </c>
      <c r="J245" s="23">
        <v>10000</v>
      </c>
      <c r="K245" s="23">
        <v>3</v>
      </c>
      <c r="L245" s="23">
        <v>3</v>
      </c>
      <c r="M245" s="23" t="s">
        <v>160</v>
      </c>
      <c r="N245" s="23">
        <v>1</v>
      </c>
      <c r="O245" s="23" t="s">
        <v>190</v>
      </c>
      <c r="P245" s="23">
        <v>1</v>
      </c>
      <c r="S245" s="23"/>
    </row>
    <row r="246" spans="1:19">
      <c r="A246" s="23" t="s">
        <v>98</v>
      </c>
      <c r="B246" s="23" t="s">
        <v>82</v>
      </c>
      <c r="C246" s="23" t="s">
        <v>14</v>
      </c>
      <c r="D246" s="23" t="s">
        <v>165</v>
      </c>
      <c r="E246" s="23">
        <v>3</v>
      </c>
      <c r="F246" s="23" t="s">
        <v>51</v>
      </c>
      <c r="G246" s="23" t="s">
        <v>157</v>
      </c>
      <c r="H246" s="23">
        <v>5</v>
      </c>
      <c r="I246" s="23">
        <v>28</v>
      </c>
      <c r="J246" s="23">
        <v>10000</v>
      </c>
      <c r="K246" s="23">
        <v>3</v>
      </c>
      <c r="L246" s="23">
        <v>3</v>
      </c>
      <c r="M246" s="23" t="s">
        <v>161</v>
      </c>
      <c r="N246" s="23">
        <v>1</v>
      </c>
      <c r="O246" s="23" t="s">
        <v>190</v>
      </c>
      <c r="P246" s="23">
        <v>1</v>
      </c>
      <c r="S246" s="26"/>
    </row>
    <row r="247" spans="1:19">
      <c r="A247" s="23" t="s">
        <v>98</v>
      </c>
      <c r="B247" s="23" t="s">
        <v>82</v>
      </c>
      <c r="C247" s="23" t="s">
        <v>14</v>
      </c>
      <c r="D247" s="23" t="s">
        <v>165</v>
      </c>
      <c r="E247" s="23">
        <v>3</v>
      </c>
      <c r="F247" s="23" t="s">
        <v>51</v>
      </c>
      <c r="G247" s="23" t="s">
        <v>158</v>
      </c>
      <c r="H247" s="23">
        <v>6</v>
      </c>
      <c r="I247" s="23">
        <v>28</v>
      </c>
      <c r="J247" s="23">
        <v>10000</v>
      </c>
      <c r="K247" s="23">
        <v>3</v>
      </c>
      <c r="L247" s="23">
        <v>3</v>
      </c>
      <c r="M247" s="23" t="s">
        <v>160</v>
      </c>
      <c r="N247" s="23">
        <v>1</v>
      </c>
      <c r="O247" s="23" t="s">
        <v>190</v>
      </c>
      <c r="P247" s="23">
        <v>1</v>
      </c>
      <c r="R247" s="23">
        <v>0</v>
      </c>
      <c r="S247" s="26">
        <v>15.635908128736876</v>
      </c>
    </row>
    <row r="248" spans="1:19">
      <c r="A248" s="23" t="s">
        <v>98</v>
      </c>
      <c r="B248" s="23" t="s">
        <v>82</v>
      </c>
      <c r="C248" s="23" t="s">
        <v>21</v>
      </c>
      <c r="D248" s="23" t="s">
        <v>165</v>
      </c>
      <c r="E248" s="23">
        <v>2</v>
      </c>
      <c r="F248" s="23" t="s">
        <v>58</v>
      </c>
      <c r="G248" s="23" t="s">
        <v>156</v>
      </c>
      <c r="H248" s="23">
        <v>1</v>
      </c>
      <c r="I248" s="23">
        <v>28</v>
      </c>
      <c r="J248" s="23">
        <v>10000</v>
      </c>
      <c r="K248" s="23">
        <v>3</v>
      </c>
      <c r="L248" s="23">
        <v>2</v>
      </c>
      <c r="M248" s="23" t="s">
        <v>161</v>
      </c>
      <c r="N248" s="23">
        <v>1</v>
      </c>
      <c r="O248" s="23" t="s">
        <v>190</v>
      </c>
      <c r="P248" s="23">
        <v>1</v>
      </c>
      <c r="Q248" s="23" t="s">
        <v>190</v>
      </c>
      <c r="S248" s="23"/>
    </row>
    <row r="249" spans="1:19">
      <c r="A249" s="23" t="s">
        <v>98</v>
      </c>
      <c r="B249" s="23" t="s">
        <v>82</v>
      </c>
      <c r="C249" s="23" t="s">
        <v>21</v>
      </c>
      <c r="D249" s="23" t="s">
        <v>165</v>
      </c>
      <c r="E249" s="23">
        <v>2</v>
      </c>
      <c r="F249" s="23" t="s">
        <v>58</v>
      </c>
      <c r="G249" s="23" t="s">
        <v>157</v>
      </c>
      <c r="H249" s="23">
        <v>2</v>
      </c>
      <c r="I249" s="23">
        <v>28</v>
      </c>
      <c r="J249" s="23">
        <v>10000</v>
      </c>
      <c r="K249" s="23">
        <v>3</v>
      </c>
      <c r="L249" s="23">
        <v>2</v>
      </c>
      <c r="M249" s="23" t="s">
        <v>160</v>
      </c>
      <c r="N249" s="23">
        <v>1</v>
      </c>
      <c r="O249" s="23" t="s">
        <v>190</v>
      </c>
      <c r="P249" s="23">
        <v>1</v>
      </c>
      <c r="Q249" s="23" t="s">
        <v>190</v>
      </c>
      <c r="S249" s="23"/>
    </row>
    <row r="250" spans="1:19">
      <c r="A250" s="23" t="s">
        <v>98</v>
      </c>
      <c r="B250" s="23" t="s">
        <v>82</v>
      </c>
      <c r="C250" s="23" t="s">
        <v>21</v>
      </c>
      <c r="D250" s="23" t="s">
        <v>165</v>
      </c>
      <c r="E250" s="23">
        <v>2</v>
      </c>
      <c r="F250" s="23" t="s">
        <v>58</v>
      </c>
      <c r="G250" s="23" t="s">
        <v>153</v>
      </c>
      <c r="H250" s="23">
        <v>3</v>
      </c>
      <c r="I250" s="23">
        <v>28</v>
      </c>
      <c r="J250" s="23">
        <v>10000</v>
      </c>
      <c r="K250" s="23">
        <v>3</v>
      </c>
      <c r="L250" s="23">
        <v>2</v>
      </c>
      <c r="M250" s="23" t="s">
        <v>161</v>
      </c>
      <c r="N250" s="23">
        <v>1</v>
      </c>
      <c r="O250" s="23" t="s">
        <v>190</v>
      </c>
      <c r="P250" s="23">
        <v>1</v>
      </c>
      <c r="Q250" s="23" t="s">
        <v>190</v>
      </c>
      <c r="S250" s="23"/>
    </row>
    <row r="251" spans="1:19">
      <c r="A251" s="23" t="s">
        <v>98</v>
      </c>
      <c r="B251" s="23" t="s">
        <v>82</v>
      </c>
      <c r="C251" s="23" t="s">
        <v>21</v>
      </c>
      <c r="D251" s="23" t="s">
        <v>165</v>
      </c>
      <c r="E251" s="23">
        <v>2</v>
      </c>
      <c r="F251" s="23" t="s">
        <v>58</v>
      </c>
      <c r="G251" s="23" t="s">
        <v>158</v>
      </c>
      <c r="H251" s="23">
        <v>4</v>
      </c>
      <c r="I251" s="23">
        <v>28</v>
      </c>
      <c r="J251" s="23">
        <v>10000</v>
      </c>
      <c r="K251" s="23">
        <v>3</v>
      </c>
      <c r="L251" s="23">
        <v>2</v>
      </c>
      <c r="M251" s="23" t="s">
        <v>161</v>
      </c>
      <c r="N251" s="23">
        <v>1</v>
      </c>
      <c r="O251" s="23" t="s">
        <v>190</v>
      </c>
      <c r="P251" s="23">
        <v>1</v>
      </c>
      <c r="Q251" s="23" t="s">
        <v>190</v>
      </c>
      <c r="S251" s="23"/>
    </row>
    <row r="252" spans="1:19">
      <c r="A252" s="23" t="s">
        <v>98</v>
      </c>
      <c r="B252" s="23" t="s">
        <v>82</v>
      </c>
      <c r="C252" s="23" t="s">
        <v>21</v>
      </c>
      <c r="D252" s="23" t="s">
        <v>165</v>
      </c>
      <c r="E252" s="23">
        <v>2</v>
      </c>
      <c r="F252" s="23" t="s">
        <v>58</v>
      </c>
      <c r="G252" s="23" t="s">
        <v>155</v>
      </c>
      <c r="H252" s="23">
        <v>5</v>
      </c>
      <c r="I252" s="23">
        <v>28</v>
      </c>
      <c r="J252" s="23">
        <v>10000</v>
      </c>
      <c r="K252" s="23">
        <v>3</v>
      </c>
      <c r="L252" s="23">
        <v>2</v>
      </c>
      <c r="M252" s="23" t="s">
        <v>160</v>
      </c>
      <c r="N252" s="23">
        <v>1</v>
      </c>
      <c r="O252" s="23" t="s">
        <v>190</v>
      </c>
      <c r="P252" s="23">
        <v>1</v>
      </c>
      <c r="Q252" s="23" t="s">
        <v>190</v>
      </c>
      <c r="S252" s="26"/>
    </row>
    <row r="253" spans="1:19">
      <c r="A253" s="23" t="s">
        <v>98</v>
      </c>
      <c r="B253" s="23" t="s">
        <v>82</v>
      </c>
      <c r="C253" s="23" t="s">
        <v>21</v>
      </c>
      <c r="D253" s="23" t="s">
        <v>165</v>
      </c>
      <c r="E253" s="23">
        <v>2</v>
      </c>
      <c r="F253" s="23" t="s">
        <v>58</v>
      </c>
      <c r="G253" s="23" t="s">
        <v>154</v>
      </c>
      <c r="H253" s="23">
        <v>6</v>
      </c>
      <c r="I253" s="23">
        <v>28</v>
      </c>
      <c r="J253" s="23">
        <v>10000</v>
      </c>
      <c r="K253" s="23">
        <v>3</v>
      </c>
      <c r="L253" s="23">
        <v>2</v>
      </c>
      <c r="M253" s="23" t="s">
        <v>160</v>
      </c>
      <c r="N253" s="23">
        <v>1</v>
      </c>
      <c r="O253" s="23" t="s">
        <v>190</v>
      </c>
      <c r="P253" s="23">
        <v>1</v>
      </c>
      <c r="Q253" s="23" t="s">
        <v>190</v>
      </c>
      <c r="R253" s="23">
        <v>0</v>
      </c>
      <c r="S253" s="26">
        <v>10.403024250416809</v>
      </c>
    </row>
    <row r="254" spans="1:19">
      <c r="A254" s="23" t="s">
        <v>41</v>
      </c>
      <c r="B254" s="23" t="s">
        <v>82</v>
      </c>
      <c r="C254" s="23" t="s">
        <v>14</v>
      </c>
      <c r="D254" s="23" t="s">
        <v>177</v>
      </c>
      <c r="E254" s="23">
        <v>1</v>
      </c>
      <c r="F254" s="23" t="s">
        <v>50</v>
      </c>
      <c r="G254" s="23" t="s">
        <v>147</v>
      </c>
      <c r="H254" s="23">
        <v>1</v>
      </c>
      <c r="I254" s="23">
        <v>49</v>
      </c>
      <c r="J254" s="23">
        <v>5000</v>
      </c>
      <c r="K254" s="23">
        <v>21</v>
      </c>
      <c r="L254" s="23">
        <v>1</v>
      </c>
      <c r="M254" s="23" t="s">
        <v>160</v>
      </c>
      <c r="N254" s="23">
        <v>0</v>
      </c>
      <c r="P254" s="23">
        <v>0</v>
      </c>
      <c r="S254" s="23"/>
    </row>
    <row r="255" spans="1:19">
      <c r="A255" s="23" t="s">
        <v>41</v>
      </c>
      <c r="B255" s="23" t="s">
        <v>82</v>
      </c>
      <c r="C255" s="23" t="s">
        <v>14</v>
      </c>
      <c r="D255" s="23" t="s">
        <v>177</v>
      </c>
      <c r="E255" s="23">
        <v>1</v>
      </c>
      <c r="F255" s="23" t="s">
        <v>50</v>
      </c>
      <c r="G255" s="23" t="s">
        <v>148</v>
      </c>
      <c r="H255" s="23">
        <v>2</v>
      </c>
      <c r="I255" s="23">
        <v>49</v>
      </c>
      <c r="J255" s="23">
        <v>5000</v>
      </c>
      <c r="K255" s="23">
        <v>21</v>
      </c>
      <c r="L255" s="23">
        <v>1</v>
      </c>
      <c r="M255" s="23" t="s">
        <v>161</v>
      </c>
      <c r="N255" s="23">
        <v>0</v>
      </c>
      <c r="P255" s="23">
        <v>0</v>
      </c>
      <c r="S255" s="23"/>
    </row>
    <row r="256" spans="1:19">
      <c r="A256" s="23" t="s">
        <v>99</v>
      </c>
      <c r="B256" s="23" t="s">
        <v>82</v>
      </c>
      <c r="C256" s="23" t="s">
        <v>14</v>
      </c>
      <c r="D256" s="23" t="s">
        <v>176</v>
      </c>
      <c r="E256" s="23">
        <v>1</v>
      </c>
      <c r="F256" s="23" t="s">
        <v>50</v>
      </c>
      <c r="G256" s="23" t="s">
        <v>149</v>
      </c>
      <c r="H256" s="23">
        <v>3</v>
      </c>
      <c r="I256" s="23">
        <v>49</v>
      </c>
      <c r="J256" s="23">
        <v>5000</v>
      </c>
      <c r="K256" s="23">
        <v>21</v>
      </c>
      <c r="L256" s="23">
        <v>1</v>
      </c>
      <c r="M256" s="23" t="s">
        <v>160</v>
      </c>
      <c r="N256" s="23">
        <v>0</v>
      </c>
      <c r="P256" s="23">
        <v>0</v>
      </c>
      <c r="S256" s="23"/>
    </row>
    <row r="257" spans="1:19">
      <c r="A257" s="23" t="s">
        <v>99</v>
      </c>
      <c r="B257" s="23" t="s">
        <v>82</v>
      </c>
      <c r="C257" s="23" t="s">
        <v>14</v>
      </c>
      <c r="D257" s="23" t="s">
        <v>176</v>
      </c>
      <c r="E257" s="23">
        <v>1</v>
      </c>
      <c r="F257" s="23" t="s">
        <v>50</v>
      </c>
      <c r="G257" s="23" t="s">
        <v>150</v>
      </c>
      <c r="H257" s="23">
        <v>4</v>
      </c>
      <c r="I257" s="23">
        <v>49</v>
      </c>
      <c r="J257" s="23">
        <v>5000</v>
      </c>
      <c r="K257" s="23">
        <v>21</v>
      </c>
      <c r="L257" s="23">
        <v>1</v>
      </c>
      <c r="M257" s="23" t="s">
        <v>161</v>
      </c>
      <c r="N257" s="23">
        <v>0</v>
      </c>
      <c r="P257" s="23">
        <v>0</v>
      </c>
      <c r="S257" s="23"/>
    </row>
    <row r="258" spans="1:19">
      <c r="A258" s="23" t="s">
        <v>99</v>
      </c>
      <c r="B258" s="23" t="s">
        <v>82</v>
      </c>
      <c r="C258" s="23" t="s">
        <v>14</v>
      </c>
      <c r="D258" s="23" t="s">
        <v>176</v>
      </c>
      <c r="E258" s="23">
        <v>1</v>
      </c>
      <c r="F258" s="23" t="s">
        <v>50</v>
      </c>
      <c r="G258" s="23" t="s">
        <v>151</v>
      </c>
      <c r="H258" s="23">
        <v>5</v>
      </c>
      <c r="I258" s="23">
        <v>49</v>
      </c>
      <c r="J258" s="23">
        <v>5000</v>
      </c>
      <c r="K258" s="23">
        <v>21</v>
      </c>
      <c r="L258" s="23">
        <v>1</v>
      </c>
      <c r="M258" s="23" t="s">
        <v>161</v>
      </c>
      <c r="N258" s="23">
        <v>0</v>
      </c>
      <c r="P258" s="23">
        <v>0</v>
      </c>
      <c r="S258" s="23"/>
    </row>
    <row r="259" spans="1:19">
      <c r="A259" s="23" t="s">
        <v>99</v>
      </c>
      <c r="B259" s="23" t="s">
        <v>82</v>
      </c>
      <c r="C259" s="23" t="s">
        <v>14</v>
      </c>
      <c r="D259" s="23" t="s">
        <v>176</v>
      </c>
      <c r="E259" s="23">
        <v>1</v>
      </c>
      <c r="F259" s="23" t="s">
        <v>50</v>
      </c>
      <c r="G259" s="23" t="s">
        <v>152</v>
      </c>
      <c r="H259" s="23">
        <v>6</v>
      </c>
      <c r="I259" s="23">
        <v>49</v>
      </c>
      <c r="J259" s="23">
        <v>5000</v>
      </c>
      <c r="K259" s="23">
        <v>21</v>
      </c>
      <c r="L259" s="23">
        <v>1</v>
      </c>
      <c r="M259" s="23" t="s">
        <v>160</v>
      </c>
      <c r="N259" s="23">
        <v>1</v>
      </c>
      <c r="O259" s="23" t="s">
        <v>190</v>
      </c>
      <c r="P259" s="23">
        <v>1</v>
      </c>
      <c r="R259" s="23">
        <v>0</v>
      </c>
      <c r="S259" s="23">
        <v>6.2574066832025794</v>
      </c>
    </row>
    <row r="260" spans="1:19">
      <c r="A260" s="23" t="s">
        <v>99</v>
      </c>
      <c r="B260" s="23" t="s">
        <v>82</v>
      </c>
      <c r="C260" s="23" t="s">
        <v>22</v>
      </c>
      <c r="D260" s="23" t="s">
        <v>176</v>
      </c>
      <c r="E260" s="23">
        <v>2</v>
      </c>
      <c r="F260" s="23" t="s">
        <v>52</v>
      </c>
      <c r="G260" s="23" t="s">
        <v>153</v>
      </c>
      <c r="H260" s="23">
        <v>1</v>
      </c>
      <c r="I260" s="23">
        <v>49</v>
      </c>
      <c r="J260" s="23">
        <v>5000</v>
      </c>
      <c r="K260" s="23">
        <v>21</v>
      </c>
      <c r="L260" s="23">
        <v>2</v>
      </c>
      <c r="M260" s="23" t="s">
        <v>160</v>
      </c>
      <c r="N260" s="23">
        <v>1</v>
      </c>
      <c r="O260" s="23" t="s">
        <v>190</v>
      </c>
      <c r="P260" s="23">
        <v>1</v>
      </c>
      <c r="Q260" s="23" t="s">
        <v>190</v>
      </c>
      <c r="S260" s="23"/>
    </row>
    <row r="261" spans="1:19">
      <c r="A261" s="23" t="s">
        <v>99</v>
      </c>
      <c r="B261" s="23" t="s">
        <v>82</v>
      </c>
      <c r="C261" s="23" t="s">
        <v>22</v>
      </c>
      <c r="D261" s="23" t="s">
        <v>176</v>
      </c>
      <c r="E261" s="23">
        <v>2</v>
      </c>
      <c r="F261" s="23" t="s">
        <v>52</v>
      </c>
      <c r="G261" s="23" t="s">
        <v>154</v>
      </c>
      <c r="H261" s="23">
        <v>2</v>
      </c>
      <c r="I261" s="23">
        <v>49</v>
      </c>
      <c r="J261" s="23">
        <v>5000</v>
      </c>
      <c r="K261" s="23">
        <v>21</v>
      </c>
      <c r="L261" s="23">
        <v>2</v>
      </c>
      <c r="M261" s="23" t="s">
        <v>161</v>
      </c>
      <c r="N261" s="23">
        <v>1</v>
      </c>
      <c r="O261" s="23" t="s">
        <v>190</v>
      </c>
      <c r="P261" s="23">
        <v>1</v>
      </c>
      <c r="Q261" s="23" t="s">
        <v>190</v>
      </c>
      <c r="S261" s="23"/>
    </row>
    <row r="262" spans="1:19">
      <c r="A262" s="23" t="s">
        <v>99</v>
      </c>
      <c r="B262" s="23" t="s">
        <v>82</v>
      </c>
      <c r="C262" s="23" t="s">
        <v>22</v>
      </c>
      <c r="D262" s="23" t="s">
        <v>176</v>
      </c>
      <c r="E262" s="23">
        <v>2</v>
      </c>
      <c r="F262" s="23" t="s">
        <v>51</v>
      </c>
      <c r="G262" s="23" t="s">
        <v>155</v>
      </c>
      <c r="H262" s="23">
        <v>3</v>
      </c>
      <c r="I262" s="23">
        <v>49</v>
      </c>
      <c r="J262" s="23">
        <v>5000</v>
      </c>
      <c r="K262" s="23">
        <v>21</v>
      </c>
      <c r="L262" s="23">
        <v>2</v>
      </c>
      <c r="M262" s="23" t="s">
        <v>161</v>
      </c>
      <c r="N262" s="23">
        <v>0</v>
      </c>
      <c r="P262" s="23">
        <v>0</v>
      </c>
      <c r="S262" s="23"/>
    </row>
    <row r="263" spans="1:19">
      <c r="A263" s="23" t="s">
        <v>99</v>
      </c>
      <c r="B263" s="23" t="s">
        <v>82</v>
      </c>
      <c r="C263" s="23" t="s">
        <v>22</v>
      </c>
      <c r="D263" s="23" t="s">
        <v>176</v>
      </c>
      <c r="E263" s="23">
        <v>2</v>
      </c>
      <c r="F263" s="23" t="s">
        <v>51</v>
      </c>
      <c r="G263" s="23" t="s">
        <v>156</v>
      </c>
      <c r="H263" s="23">
        <v>4</v>
      </c>
      <c r="I263" s="23">
        <v>49</v>
      </c>
      <c r="J263" s="23">
        <v>5000</v>
      </c>
      <c r="K263" s="23">
        <v>21</v>
      </c>
      <c r="L263" s="23">
        <v>2</v>
      </c>
      <c r="M263" s="23" t="s">
        <v>160</v>
      </c>
      <c r="N263" s="23">
        <v>1</v>
      </c>
      <c r="O263" s="23" t="s">
        <v>190</v>
      </c>
      <c r="P263" s="23">
        <v>1</v>
      </c>
      <c r="Q263" s="23" t="s">
        <v>190</v>
      </c>
      <c r="S263" s="23"/>
    </row>
    <row r="264" spans="1:19">
      <c r="A264" s="23" t="s">
        <v>99</v>
      </c>
      <c r="B264" s="23" t="s">
        <v>82</v>
      </c>
      <c r="C264" s="23" t="s">
        <v>22</v>
      </c>
      <c r="D264" s="23" t="s">
        <v>176</v>
      </c>
      <c r="E264" s="23">
        <v>2</v>
      </c>
      <c r="F264" s="23" t="s">
        <v>51</v>
      </c>
      <c r="G264" s="23" t="s">
        <v>157</v>
      </c>
      <c r="H264" s="23">
        <v>5</v>
      </c>
      <c r="I264" s="23">
        <v>49</v>
      </c>
      <c r="J264" s="23">
        <v>5000</v>
      </c>
      <c r="K264" s="23">
        <v>21</v>
      </c>
      <c r="L264" s="23">
        <v>2</v>
      </c>
      <c r="M264" s="23" t="s">
        <v>161</v>
      </c>
      <c r="N264" s="23">
        <v>1</v>
      </c>
      <c r="O264" s="23" t="s">
        <v>190</v>
      </c>
      <c r="P264" s="23">
        <v>1</v>
      </c>
      <c r="Q264" s="23" t="s">
        <v>190</v>
      </c>
      <c r="S264" s="26"/>
    </row>
    <row r="265" spans="1:19">
      <c r="A265" s="23" t="s">
        <v>99</v>
      </c>
      <c r="B265" s="23" t="s">
        <v>82</v>
      </c>
      <c r="C265" s="23" t="s">
        <v>22</v>
      </c>
      <c r="D265" s="23" t="s">
        <v>176</v>
      </c>
      <c r="E265" s="23">
        <v>2</v>
      </c>
      <c r="F265" s="23" t="s">
        <v>51</v>
      </c>
      <c r="G265" s="23" t="s">
        <v>158</v>
      </c>
      <c r="H265" s="23">
        <v>6</v>
      </c>
      <c r="I265" s="23">
        <v>49</v>
      </c>
      <c r="J265" s="23">
        <v>5000</v>
      </c>
      <c r="K265" s="23">
        <v>21</v>
      </c>
      <c r="L265" s="23">
        <v>2</v>
      </c>
      <c r="M265" s="23" t="s">
        <v>160</v>
      </c>
      <c r="N265" s="23">
        <v>1</v>
      </c>
      <c r="O265" s="23" t="s">
        <v>190</v>
      </c>
      <c r="P265" s="23">
        <v>1</v>
      </c>
      <c r="Q265" s="23" t="s">
        <v>190</v>
      </c>
      <c r="R265" s="23">
        <v>0</v>
      </c>
      <c r="S265" s="26">
        <v>14.91097840781125</v>
      </c>
    </row>
    <row r="266" spans="1:19">
      <c r="A266" s="23" t="s">
        <v>99</v>
      </c>
      <c r="B266" s="23" t="s">
        <v>82</v>
      </c>
      <c r="C266" s="23" t="s">
        <v>21</v>
      </c>
      <c r="D266" s="23" t="s">
        <v>176</v>
      </c>
      <c r="E266" s="23">
        <v>3</v>
      </c>
      <c r="F266" s="23" t="s">
        <v>58</v>
      </c>
      <c r="G266" s="23" t="s">
        <v>156</v>
      </c>
      <c r="H266" s="23">
        <v>1</v>
      </c>
      <c r="I266" s="23">
        <v>49</v>
      </c>
      <c r="J266" s="23">
        <v>5000</v>
      </c>
      <c r="K266" s="23">
        <v>21</v>
      </c>
      <c r="L266" s="23">
        <v>3</v>
      </c>
      <c r="M266" s="23" t="s">
        <v>161</v>
      </c>
      <c r="N266" s="23">
        <v>1</v>
      </c>
      <c r="O266" s="23" t="s">
        <v>190</v>
      </c>
      <c r="P266" s="23">
        <v>1</v>
      </c>
      <c r="Q266" s="23" t="s">
        <v>190</v>
      </c>
      <c r="S266" s="23"/>
    </row>
    <row r="267" spans="1:19">
      <c r="A267" s="23" t="s">
        <v>99</v>
      </c>
      <c r="B267" s="23" t="s">
        <v>82</v>
      </c>
      <c r="C267" s="23" t="s">
        <v>21</v>
      </c>
      <c r="D267" s="23" t="s">
        <v>176</v>
      </c>
      <c r="E267" s="23">
        <v>3</v>
      </c>
      <c r="F267" s="23" t="s">
        <v>58</v>
      </c>
      <c r="G267" s="23" t="s">
        <v>157</v>
      </c>
      <c r="H267" s="23">
        <v>2</v>
      </c>
      <c r="I267" s="23">
        <v>49</v>
      </c>
      <c r="J267" s="23">
        <v>5000</v>
      </c>
      <c r="K267" s="23">
        <v>21</v>
      </c>
      <c r="L267" s="23">
        <v>3</v>
      </c>
      <c r="M267" s="23" t="s">
        <v>160</v>
      </c>
      <c r="N267" s="23">
        <v>1</v>
      </c>
      <c r="O267" s="23" t="s">
        <v>190</v>
      </c>
      <c r="P267" s="23">
        <v>1</v>
      </c>
      <c r="Q267" s="23" t="s">
        <v>190</v>
      </c>
      <c r="S267" s="23"/>
    </row>
    <row r="268" spans="1:19">
      <c r="A268" s="23" t="s">
        <v>99</v>
      </c>
      <c r="B268" s="23" t="s">
        <v>82</v>
      </c>
      <c r="C268" s="23" t="s">
        <v>21</v>
      </c>
      <c r="D268" s="23" t="s">
        <v>176</v>
      </c>
      <c r="E268" s="23">
        <v>3</v>
      </c>
      <c r="F268" s="23" t="s">
        <v>58</v>
      </c>
      <c r="G268" s="23" t="s">
        <v>153</v>
      </c>
      <c r="H268" s="23">
        <v>3</v>
      </c>
      <c r="I268" s="23">
        <v>49</v>
      </c>
      <c r="J268" s="23">
        <v>5000</v>
      </c>
      <c r="K268" s="23">
        <v>21</v>
      </c>
      <c r="L268" s="23">
        <v>3</v>
      </c>
      <c r="M268" s="23" t="s">
        <v>161</v>
      </c>
      <c r="N268" s="23">
        <v>1</v>
      </c>
      <c r="O268" s="23" t="s">
        <v>193</v>
      </c>
      <c r="P268" s="23">
        <v>1</v>
      </c>
      <c r="Q268" s="23" t="s">
        <v>193</v>
      </c>
      <c r="S268" s="23"/>
    </row>
    <row r="269" spans="1:19">
      <c r="A269" s="23" t="s">
        <v>99</v>
      </c>
      <c r="B269" s="23" t="s">
        <v>82</v>
      </c>
      <c r="C269" s="23" t="s">
        <v>21</v>
      </c>
      <c r="D269" s="23" t="s">
        <v>176</v>
      </c>
      <c r="E269" s="23">
        <v>3</v>
      </c>
      <c r="F269" s="23" t="s">
        <v>58</v>
      </c>
      <c r="G269" s="23" t="s">
        <v>158</v>
      </c>
      <c r="H269" s="23">
        <v>4</v>
      </c>
      <c r="I269" s="23">
        <v>49</v>
      </c>
      <c r="J269" s="23">
        <v>5000</v>
      </c>
      <c r="K269" s="23">
        <v>21</v>
      </c>
      <c r="L269" s="23">
        <v>3</v>
      </c>
      <c r="M269" s="23" t="s">
        <v>161</v>
      </c>
      <c r="N269" s="23">
        <v>1</v>
      </c>
      <c r="O269" s="23" t="s">
        <v>193</v>
      </c>
      <c r="P269" s="23">
        <v>1</v>
      </c>
      <c r="Q269" s="23" t="s">
        <v>193</v>
      </c>
      <c r="S269" s="23"/>
    </row>
    <row r="270" spans="1:19">
      <c r="A270" s="23" t="s">
        <v>99</v>
      </c>
      <c r="B270" s="23" t="s">
        <v>82</v>
      </c>
      <c r="C270" s="23" t="s">
        <v>21</v>
      </c>
      <c r="D270" s="23" t="s">
        <v>176</v>
      </c>
      <c r="E270" s="23">
        <v>3</v>
      </c>
      <c r="F270" s="23" t="s">
        <v>58</v>
      </c>
      <c r="G270" s="23" t="s">
        <v>155</v>
      </c>
      <c r="H270" s="23">
        <v>5</v>
      </c>
      <c r="I270" s="23">
        <v>49</v>
      </c>
      <c r="J270" s="23">
        <v>5000</v>
      </c>
      <c r="K270" s="23">
        <v>21</v>
      </c>
      <c r="L270" s="23">
        <v>3</v>
      </c>
      <c r="M270" s="23" t="s">
        <v>160</v>
      </c>
      <c r="N270" s="23">
        <v>1</v>
      </c>
      <c r="O270" s="23" t="s">
        <v>193</v>
      </c>
      <c r="P270" s="23">
        <v>1</v>
      </c>
      <c r="Q270" s="23" t="s">
        <v>193</v>
      </c>
      <c r="S270" s="26"/>
    </row>
    <row r="271" spans="1:19">
      <c r="A271" s="23" t="s">
        <v>99</v>
      </c>
      <c r="B271" s="23" t="s">
        <v>82</v>
      </c>
      <c r="C271" s="23" t="s">
        <v>21</v>
      </c>
      <c r="D271" s="23" t="s">
        <v>176</v>
      </c>
      <c r="E271" s="23">
        <v>3</v>
      </c>
      <c r="F271" s="23" t="s">
        <v>58</v>
      </c>
      <c r="G271" s="23" t="s">
        <v>154</v>
      </c>
      <c r="H271" s="23">
        <v>6</v>
      </c>
      <c r="I271" s="23">
        <v>49</v>
      </c>
      <c r="J271" s="23">
        <v>5000</v>
      </c>
      <c r="K271" s="23">
        <v>21</v>
      </c>
      <c r="L271" s="23">
        <v>3</v>
      </c>
      <c r="M271" s="23" t="s">
        <v>160</v>
      </c>
      <c r="N271" s="23">
        <v>1</v>
      </c>
      <c r="O271" s="23" t="s">
        <v>193</v>
      </c>
      <c r="P271" s="23">
        <v>1</v>
      </c>
      <c r="Q271" s="23" t="s">
        <v>193</v>
      </c>
      <c r="R271" s="23">
        <v>0</v>
      </c>
      <c r="S271" s="26">
        <v>10.48035781186678</v>
      </c>
    </row>
    <row r="272" spans="1:19">
      <c r="A272" s="23" t="s">
        <v>42</v>
      </c>
      <c r="B272" s="23" t="s">
        <v>82</v>
      </c>
      <c r="C272" s="23" t="s">
        <v>22</v>
      </c>
      <c r="D272" s="23" t="s">
        <v>179</v>
      </c>
      <c r="E272" s="23">
        <v>1</v>
      </c>
      <c r="F272" s="23" t="s">
        <v>50</v>
      </c>
      <c r="G272" s="23" t="s">
        <v>147</v>
      </c>
      <c r="H272" s="23">
        <v>1</v>
      </c>
      <c r="I272" s="23">
        <v>38</v>
      </c>
      <c r="J272" s="23">
        <v>5000</v>
      </c>
      <c r="K272" s="23">
        <v>13</v>
      </c>
      <c r="L272" s="23">
        <v>1</v>
      </c>
      <c r="M272" s="23" t="s">
        <v>160</v>
      </c>
      <c r="N272" s="23">
        <v>0</v>
      </c>
      <c r="P272" s="23">
        <v>0</v>
      </c>
      <c r="S272" s="23"/>
    </row>
    <row r="273" spans="1:19">
      <c r="A273" s="23" t="s">
        <v>42</v>
      </c>
      <c r="B273" s="23" t="s">
        <v>82</v>
      </c>
      <c r="C273" s="23" t="s">
        <v>22</v>
      </c>
      <c r="D273" s="23" t="s">
        <v>179</v>
      </c>
      <c r="E273" s="23">
        <v>1</v>
      </c>
      <c r="F273" s="23" t="s">
        <v>50</v>
      </c>
      <c r="G273" s="23" t="s">
        <v>148</v>
      </c>
      <c r="H273" s="23">
        <v>2</v>
      </c>
      <c r="I273" s="23">
        <v>38</v>
      </c>
      <c r="J273" s="23">
        <v>5000</v>
      </c>
      <c r="K273" s="23">
        <v>13</v>
      </c>
      <c r="L273" s="23">
        <v>1</v>
      </c>
      <c r="M273" s="23" t="s">
        <v>161</v>
      </c>
      <c r="N273" s="23">
        <v>0</v>
      </c>
      <c r="P273" s="23">
        <v>0</v>
      </c>
      <c r="S273" s="23"/>
    </row>
    <row r="274" spans="1:19">
      <c r="A274" s="23" t="s">
        <v>100</v>
      </c>
      <c r="B274" s="23" t="s">
        <v>82</v>
      </c>
      <c r="C274" s="23" t="s">
        <v>22</v>
      </c>
      <c r="D274" s="23" t="s">
        <v>178</v>
      </c>
      <c r="E274" s="23">
        <v>1</v>
      </c>
      <c r="F274" s="23" t="s">
        <v>50</v>
      </c>
      <c r="G274" s="23" t="s">
        <v>149</v>
      </c>
      <c r="H274" s="23">
        <v>3</v>
      </c>
      <c r="I274" s="23">
        <v>38</v>
      </c>
      <c r="J274" s="23">
        <v>5000</v>
      </c>
      <c r="K274" s="23">
        <v>13</v>
      </c>
      <c r="L274" s="23">
        <v>1</v>
      </c>
      <c r="M274" s="23" t="s">
        <v>160</v>
      </c>
      <c r="N274" s="23">
        <v>0</v>
      </c>
      <c r="P274" s="23">
        <v>0</v>
      </c>
      <c r="S274" s="23"/>
    </row>
    <row r="275" spans="1:19">
      <c r="A275" s="23" t="s">
        <v>100</v>
      </c>
      <c r="B275" s="23" t="s">
        <v>82</v>
      </c>
      <c r="C275" s="23" t="s">
        <v>22</v>
      </c>
      <c r="D275" s="23" t="s">
        <v>178</v>
      </c>
      <c r="E275" s="23">
        <v>1</v>
      </c>
      <c r="F275" s="23" t="s">
        <v>50</v>
      </c>
      <c r="G275" s="23" t="s">
        <v>150</v>
      </c>
      <c r="H275" s="23">
        <v>4</v>
      </c>
      <c r="I275" s="23">
        <v>38</v>
      </c>
      <c r="J275" s="23">
        <v>5000</v>
      </c>
      <c r="K275" s="23">
        <v>13</v>
      </c>
      <c r="L275" s="23">
        <v>1</v>
      </c>
      <c r="M275" s="23" t="s">
        <v>161</v>
      </c>
      <c r="N275" s="23">
        <v>0</v>
      </c>
      <c r="P275" s="23">
        <v>0</v>
      </c>
      <c r="S275" s="23"/>
    </row>
    <row r="276" spans="1:19">
      <c r="A276" s="23" t="s">
        <v>100</v>
      </c>
      <c r="B276" s="23" t="s">
        <v>82</v>
      </c>
      <c r="C276" s="23" t="s">
        <v>22</v>
      </c>
      <c r="D276" s="23" t="s">
        <v>178</v>
      </c>
      <c r="E276" s="23">
        <v>1</v>
      </c>
      <c r="F276" s="23" t="s">
        <v>50</v>
      </c>
      <c r="G276" s="23" t="s">
        <v>151</v>
      </c>
      <c r="H276" s="23">
        <v>5</v>
      </c>
      <c r="I276" s="23">
        <v>38</v>
      </c>
      <c r="J276" s="23">
        <v>5000</v>
      </c>
      <c r="K276" s="23">
        <v>13</v>
      </c>
      <c r="L276" s="23">
        <v>1</v>
      </c>
      <c r="M276" s="23" t="s">
        <v>161</v>
      </c>
      <c r="N276" s="23">
        <v>0</v>
      </c>
      <c r="P276" s="23">
        <v>0</v>
      </c>
      <c r="S276" s="23"/>
    </row>
    <row r="277" spans="1:19">
      <c r="A277" s="23" t="s">
        <v>100</v>
      </c>
      <c r="B277" s="23" t="s">
        <v>82</v>
      </c>
      <c r="C277" s="23" t="s">
        <v>22</v>
      </c>
      <c r="D277" s="23" t="s">
        <v>178</v>
      </c>
      <c r="E277" s="23">
        <v>1</v>
      </c>
      <c r="F277" s="23" t="s">
        <v>50</v>
      </c>
      <c r="G277" s="23" t="s">
        <v>152</v>
      </c>
      <c r="H277" s="23">
        <v>6</v>
      </c>
      <c r="I277" s="23">
        <v>38</v>
      </c>
      <c r="J277" s="23">
        <v>5000</v>
      </c>
      <c r="K277" s="23">
        <v>13</v>
      </c>
      <c r="L277" s="23">
        <v>1</v>
      </c>
      <c r="M277" s="23" t="s">
        <v>160</v>
      </c>
      <c r="N277" s="23">
        <v>1</v>
      </c>
      <c r="O277" s="23" t="s">
        <v>190</v>
      </c>
      <c r="P277" s="23">
        <v>1</v>
      </c>
      <c r="Q277" s="23" t="s">
        <v>190</v>
      </c>
      <c r="R277" s="23">
        <v>0</v>
      </c>
      <c r="S277" s="23">
        <v>5.46120995114177</v>
      </c>
    </row>
    <row r="278" spans="1:19">
      <c r="A278" s="23" t="s">
        <v>100</v>
      </c>
      <c r="B278" s="23" t="s">
        <v>82</v>
      </c>
      <c r="C278" s="23" t="s">
        <v>21</v>
      </c>
      <c r="D278" s="23" t="s">
        <v>178</v>
      </c>
      <c r="E278" s="23">
        <v>2</v>
      </c>
      <c r="F278" s="23" t="s">
        <v>52</v>
      </c>
      <c r="G278" s="23" t="s">
        <v>153</v>
      </c>
      <c r="H278" s="23">
        <v>1</v>
      </c>
      <c r="I278" s="23">
        <v>38</v>
      </c>
      <c r="J278" s="23">
        <v>5000</v>
      </c>
      <c r="K278" s="23">
        <v>13</v>
      </c>
      <c r="L278" s="23">
        <v>2</v>
      </c>
      <c r="M278" s="23" t="s">
        <v>160</v>
      </c>
      <c r="N278" s="23">
        <v>0</v>
      </c>
      <c r="P278" s="23">
        <v>0</v>
      </c>
      <c r="S278" s="23"/>
    </row>
    <row r="279" spans="1:19">
      <c r="A279" s="23" t="s">
        <v>100</v>
      </c>
      <c r="B279" s="23" t="s">
        <v>82</v>
      </c>
      <c r="C279" s="23" t="s">
        <v>21</v>
      </c>
      <c r="D279" s="23" t="s">
        <v>178</v>
      </c>
      <c r="E279" s="23">
        <v>2</v>
      </c>
      <c r="F279" s="23" t="s">
        <v>52</v>
      </c>
      <c r="G279" s="23" t="s">
        <v>154</v>
      </c>
      <c r="H279" s="23">
        <v>2</v>
      </c>
      <c r="I279" s="23">
        <v>38</v>
      </c>
      <c r="J279" s="23">
        <v>5000</v>
      </c>
      <c r="K279" s="23">
        <v>13</v>
      </c>
      <c r="L279" s="23">
        <v>2</v>
      </c>
      <c r="M279" s="23" t="s">
        <v>161</v>
      </c>
      <c r="N279" s="23">
        <v>0</v>
      </c>
      <c r="P279" s="23">
        <v>0</v>
      </c>
      <c r="S279" s="23"/>
    </row>
    <row r="280" spans="1:19">
      <c r="A280" s="23" t="s">
        <v>100</v>
      </c>
      <c r="B280" s="23" t="s">
        <v>82</v>
      </c>
      <c r="C280" s="23" t="s">
        <v>21</v>
      </c>
      <c r="D280" s="23" t="s">
        <v>178</v>
      </c>
      <c r="E280" s="23">
        <v>2</v>
      </c>
      <c r="F280" s="23" t="s">
        <v>51</v>
      </c>
      <c r="G280" s="23" t="s">
        <v>155</v>
      </c>
      <c r="H280" s="23">
        <v>3</v>
      </c>
      <c r="I280" s="23">
        <v>38</v>
      </c>
      <c r="J280" s="23">
        <v>5000</v>
      </c>
      <c r="K280" s="23">
        <v>13</v>
      </c>
      <c r="L280" s="23">
        <v>2</v>
      </c>
      <c r="M280" s="23" t="s">
        <v>161</v>
      </c>
      <c r="N280" s="23">
        <v>0</v>
      </c>
      <c r="P280" s="23">
        <v>0</v>
      </c>
      <c r="S280" s="23"/>
    </row>
    <row r="281" spans="1:19">
      <c r="A281" s="23" t="s">
        <v>100</v>
      </c>
      <c r="B281" s="23" t="s">
        <v>82</v>
      </c>
      <c r="C281" s="23" t="s">
        <v>21</v>
      </c>
      <c r="D281" s="23" t="s">
        <v>178</v>
      </c>
      <c r="E281" s="23">
        <v>2</v>
      </c>
      <c r="F281" s="23" t="s">
        <v>51</v>
      </c>
      <c r="G281" s="23" t="s">
        <v>156</v>
      </c>
      <c r="H281" s="23">
        <v>4</v>
      </c>
      <c r="I281" s="23">
        <v>38</v>
      </c>
      <c r="J281" s="23">
        <v>5000</v>
      </c>
      <c r="K281" s="23">
        <v>13</v>
      </c>
      <c r="L281" s="23">
        <v>2</v>
      </c>
      <c r="M281" s="23" t="s">
        <v>160</v>
      </c>
      <c r="N281" s="23">
        <v>1</v>
      </c>
      <c r="O281" s="23" t="s">
        <v>190</v>
      </c>
      <c r="P281" s="23">
        <v>1</v>
      </c>
      <c r="Q281" s="23" t="s">
        <v>190</v>
      </c>
      <c r="S281" s="23"/>
    </row>
    <row r="282" spans="1:19">
      <c r="A282" s="23" t="s">
        <v>100</v>
      </c>
      <c r="B282" s="23" t="s">
        <v>82</v>
      </c>
      <c r="C282" s="23" t="s">
        <v>21</v>
      </c>
      <c r="D282" s="23" t="s">
        <v>178</v>
      </c>
      <c r="E282" s="23">
        <v>2</v>
      </c>
      <c r="F282" s="23" t="s">
        <v>51</v>
      </c>
      <c r="G282" s="23" t="s">
        <v>157</v>
      </c>
      <c r="H282" s="23">
        <v>5</v>
      </c>
      <c r="I282" s="23">
        <v>38</v>
      </c>
      <c r="J282" s="23">
        <v>5000</v>
      </c>
      <c r="K282" s="23">
        <v>13</v>
      </c>
      <c r="L282" s="23">
        <v>2</v>
      </c>
      <c r="M282" s="23" t="s">
        <v>161</v>
      </c>
      <c r="N282" s="23">
        <v>0</v>
      </c>
      <c r="P282" s="23">
        <v>0</v>
      </c>
      <c r="S282" s="26"/>
    </row>
    <row r="283" spans="1:19">
      <c r="A283" s="23" t="s">
        <v>100</v>
      </c>
      <c r="B283" s="23" t="s">
        <v>82</v>
      </c>
      <c r="C283" s="23" t="s">
        <v>21</v>
      </c>
      <c r="D283" s="23" t="s">
        <v>178</v>
      </c>
      <c r="E283" s="23">
        <v>2</v>
      </c>
      <c r="F283" s="23" t="s">
        <v>51</v>
      </c>
      <c r="G283" s="23" t="s">
        <v>158</v>
      </c>
      <c r="H283" s="23">
        <v>6</v>
      </c>
      <c r="I283" s="23">
        <v>38</v>
      </c>
      <c r="J283" s="23">
        <v>5000</v>
      </c>
      <c r="K283" s="23">
        <v>13</v>
      </c>
      <c r="L283" s="23">
        <v>2</v>
      </c>
      <c r="M283" s="23" t="s">
        <v>160</v>
      </c>
      <c r="N283" s="23">
        <v>1</v>
      </c>
      <c r="O283" s="23" t="s">
        <v>190</v>
      </c>
      <c r="P283" s="23">
        <v>1</v>
      </c>
      <c r="Q283" s="23" t="s">
        <v>190</v>
      </c>
      <c r="R283" s="23">
        <v>0</v>
      </c>
      <c r="S283" s="26">
        <v>5.4839567010192356</v>
      </c>
    </row>
    <row r="284" spans="1:19">
      <c r="A284" s="23" t="s">
        <v>100</v>
      </c>
      <c r="B284" s="23" t="s">
        <v>82</v>
      </c>
      <c r="C284" s="23" t="s">
        <v>14</v>
      </c>
      <c r="D284" s="23" t="s">
        <v>178</v>
      </c>
      <c r="E284" s="23">
        <v>3</v>
      </c>
      <c r="F284" s="23" t="s">
        <v>58</v>
      </c>
      <c r="G284" s="23" t="s">
        <v>156</v>
      </c>
      <c r="H284" s="23">
        <v>1</v>
      </c>
      <c r="I284" s="23">
        <v>38</v>
      </c>
      <c r="J284" s="23">
        <v>5000</v>
      </c>
      <c r="K284" s="23">
        <v>13</v>
      </c>
      <c r="L284" s="23">
        <v>3</v>
      </c>
      <c r="M284" s="23" t="s">
        <v>161</v>
      </c>
      <c r="N284" s="23">
        <v>0</v>
      </c>
      <c r="P284" s="23">
        <v>0</v>
      </c>
      <c r="S284" s="23"/>
    </row>
    <row r="285" spans="1:19">
      <c r="A285" s="23" t="s">
        <v>100</v>
      </c>
      <c r="B285" s="23" t="s">
        <v>82</v>
      </c>
      <c r="C285" s="23" t="s">
        <v>14</v>
      </c>
      <c r="D285" s="23" t="s">
        <v>178</v>
      </c>
      <c r="E285" s="23">
        <v>3</v>
      </c>
      <c r="F285" s="23" t="s">
        <v>58</v>
      </c>
      <c r="G285" s="23" t="s">
        <v>157</v>
      </c>
      <c r="H285" s="23">
        <v>2</v>
      </c>
      <c r="I285" s="23">
        <v>38</v>
      </c>
      <c r="J285" s="23">
        <v>5000</v>
      </c>
      <c r="K285" s="23">
        <v>13</v>
      </c>
      <c r="L285" s="23">
        <v>3</v>
      </c>
      <c r="M285" s="23" t="s">
        <v>160</v>
      </c>
      <c r="N285" s="23">
        <v>0</v>
      </c>
      <c r="P285" s="23">
        <v>0</v>
      </c>
      <c r="S285" s="23"/>
    </row>
    <row r="286" spans="1:19">
      <c r="A286" s="23" t="s">
        <v>100</v>
      </c>
      <c r="B286" s="23" t="s">
        <v>82</v>
      </c>
      <c r="C286" s="23" t="s">
        <v>14</v>
      </c>
      <c r="D286" s="23" t="s">
        <v>178</v>
      </c>
      <c r="E286" s="23">
        <v>3</v>
      </c>
      <c r="F286" s="23" t="s">
        <v>58</v>
      </c>
      <c r="G286" s="23" t="s">
        <v>153</v>
      </c>
      <c r="H286" s="23">
        <v>3</v>
      </c>
      <c r="I286" s="23">
        <v>38</v>
      </c>
      <c r="J286" s="23">
        <v>5000</v>
      </c>
      <c r="K286" s="23">
        <v>13</v>
      </c>
      <c r="L286" s="23">
        <v>3</v>
      </c>
      <c r="M286" s="23" t="s">
        <v>161</v>
      </c>
      <c r="N286" s="23">
        <v>0</v>
      </c>
      <c r="P286" s="23">
        <v>0</v>
      </c>
      <c r="S286" s="23"/>
    </row>
    <row r="287" spans="1:19">
      <c r="A287" s="23" t="s">
        <v>100</v>
      </c>
      <c r="B287" s="23" t="s">
        <v>82</v>
      </c>
      <c r="C287" s="23" t="s">
        <v>14</v>
      </c>
      <c r="D287" s="23" t="s">
        <v>178</v>
      </c>
      <c r="E287" s="23">
        <v>3</v>
      </c>
      <c r="F287" s="23" t="s">
        <v>58</v>
      </c>
      <c r="G287" s="23" t="s">
        <v>158</v>
      </c>
      <c r="H287" s="23">
        <v>4</v>
      </c>
      <c r="I287" s="23">
        <v>38</v>
      </c>
      <c r="J287" s="23">
        <v>5000</v>
      </c>
      <c r="K287" s="23">
        <v>13</v>
      </c>
      <c r="L287" s="23">
        <v>3</v>
      </c>
      <c r="M287" s="23" t="s">
        <v>161</v>
      </c>
      <c r="N287" s="23">
        <v>0</v>
      </c>
      <c r="P287" s="23">
        <v>0</v>
      </c>
      <c r="S287" s="23"/>
    </row>
    <row r="288" spans="1:19">
      <c r="A288" s="23" t="s">
        <v>100</v>
      </c>
      <c r="B288" s="23" t="s">
        <v>82</v>
      </c>
      <c r="C288" s="23" t="s">
        <v>14</v>
      </c>
      <c r="D288" s="23" t="s">
        <v>178</v>
      </c>
      <c r="E288" s="23">
        <v>3</v>
      </c>
      <c r="F288" s="23" t="s">
        <v>58</v>
      </c>
      <c r="G288" s="23" t="s">
        <v>155</v>
      </c>
      <c r="H288" s="23">
        <v>5</v>
      </c>
      <c r="I288" s="23">
        <v>38</v>
      </c>
      <c r="J288" s="23">
        <v>5000</v>
      </c>
      <c r="K288" s="23">
        <v>13</v>
      </c>
      <c r="L288" s="23">
        <v>3</v>
      </c>
      <c r="M288" s="23" t="s">
        <v>160</v>
      </c>
      <c r="N288" s="23">
        <v>0</v>
      </c>
      <c r="P288" s="23">
        <v>0</v>
      </c>
      <c r="S288" s="26"/>
    </row>
    <row r="289" spans="1:19">
      <c r="A289" s="23" t="s">
        <v>100</v>
      </c>
      <c r="B289" s="23" t="s">
        <v>82</v>
      </c>
      <c r="C289" s="23" t="s">
        <v>14</v>
      </c>
      <c r="D289" s="23" t="s">
        <v>178</v>
      </c>
      <c r="E289" s="23">
        <v>3</v>
      </c>
      <c r="F289" s="23" t="s">
        <v>58</v>
      </c>
      <c r="G289" s="23" t="s">
        <v>154</v>
      </c>
      <c r="H289" s="23">
        <v>6</v>
      </c>
      <c r="I289" s="23">
        <v>38</v>
      </c>
      <c r="J289" s="23">
        <v>5000</v>
      </c>
      <c r="K289" s="23">
        <v>13</v>
      </c>
      <c r="L289" s="23">
        <v>3</v>
      </c>
      <c r="M289" s="23" t="s">
        <v>160</v>
      </c>
      <c r="N289" s="27">
        <v>1</v>
      </c>
      <c r="O289" s="27" t="s">
        <v>195</v>
      </c>
      <c r="P289" s="27">
        <v>0</v>
      </c>
      <c r="Q289" s="27"/>
      <c r="R289" s="23">
        <v>0</v>
      </c>
      <c r="S289" s="28">
        <v>3.7069365080000001</v>
      </c>
    </row>
    <row r="290" spans="1:19">
      <c r="A290" s="23" t="s">
        <v>43</v>
      </c>
      <c r="B290" s="23" t="s">
        <v>82</v>
      </c>
      <c r="C290" s="23" t="s">
        <v>21</v>
      </c>
      <c r="D290" s="23" t="s">
        <v>181</v>
      </c>
      <c r="E290" s="23">
        <v>1</v>
      </c>
      <c r="F290" s="23" t="s">
        <v>50</v>
      </c>
      <c r="G290" s="23" t="s">
        <v>147</v>
      </c>
      <c r="H290" s="23">
        <v>1</v>
      </c>
      <c r="I290" s="23">
        <v>40</v>
      </c>
      <c r="J290" s="23">
        <v>8000</v>
      </c>
      <c r="K290" s="23">
        <v>13</v>
      </c>
      <c r="L290" s="23">
        <v>1</v>
      </c>
      <c r="M290" s="23" t="s">
        <v>160</v>
      </c>
      <c r="N290" s="23">
        <v>0</v>
      </c>
      <c r="P290" s="23">
        <v>0</v>
      </c>
      <c r="S290" s="23"/>
    </row>
    <row r="291" spans="1:19">
      <c r="A291" s="23" t="s">
        <v>43</v>
      </c>
      <c r="B291" s="23" t="s">
        <v>82</v>
      </c>
      <c r="C291" s="23" t="s">
        <v>21</v>
      </c>
      <c r="D291" s="23" t="s">
        <v>181</v>
      </c>
      <c r="E291" s="23">
        <v>1</v>
      </c>
      <c r="F291" s="23" t="s">
        <v>50</v>
      </c>
      <c r="G291" s="23" t="s">
        <v>148</v>
      </c>
      <c r="H291" s="23">
        <v>2</v>
      </c>
      <c r="I291" s="23">
        <v>40</v>
      </c>
      <c r="J291" s="23">
        <v>8000</v>
      </c>
      <c r="K291" s="23">
        <v>13</v>
      </c>
      <c r="L291" s="23">
        <v>1</v>
      </c>
      <c r="M291" s="23" t="s">
        <v>161</v>
      </c>
      <c r="N291" s="23">
        <v>0</v>
      </c>
      <c r="P291" s="23">
        <v>0</v>
      </c>
      <c r="S291" s="23"/>
    </row>
    <row r="292" spans="1:19">
      <c r="A292" s="23" t="s">
        <v>101</v>
      </c>
      <c r="B292" s="23" t="s">
        <v>82</v>
      </c>
      <c r="C292" s="23" t="s">
        <v>21</v>
      </c>
      <c r="D292" s="23" t="s">
        <v>180</v>
      </c>
      <c r="E292" s="23">
        <v>1</v>
      </c>
      <c r="F292" s="23" t="s">
        <v>50</v>
      </c>
      <c r="G292" s="23" t="s">
        <v>149</v>
      </c>
      <c r="H292" s="23">
        <v>3</v>
      </c>
      <c r="I292" s="23">
        <v>40</v>
      </c>
      <c r="J292" s="23">
        <v>8000</v>
      </c>
      <c r="K292" s="23">
        <v>13</v>
      </c>
      <c r="L292" s="23">
        <v>1</v>
      </c>
      <c r="M292" s="23" t="s">
        <v>160</v>
      </c>
      <c r="N292" s="23">
        <v>1</v>
      </c>
      <c r="O292" s="23" t="s">
        <v>192</v>
      </c>
      <c r="P292" s="23">
        <v>1</v>
      </c>
      <c r="Q292" s="23" t="s">
        <v>193</v>
      </c>
      <c r="S292" s="23"/>
    </row>
    <row r="293" spans="1:19">
      <c r="A293" s="23" t="s">
        <v>101</v>
      </c>
      <c r="B293" s="23" t="s">
        <v>82</v>
      </c>
      <c r="C293" s="23" t="s">
        <v>21</v>
      </c>
      <c r="D293" s="23" t="s">
        <v>180</v>
      </c>
      <c r="E293" s="23">
        <v>1</v>
      </c>
      <c r="F293" s="23" t="s">
        <v>50</v>
      </c>
      <c r="G293" s="23" t="s">
        <v>150</v>
      </c>
      <c r="H293" s="23">
        <v>4</v>
      </c>
      <c r="I293" s="23">
        <v>40</v>
      </c>
      <c r="J293" s="23">
        <v>8000</v>
      </c>
      <c r="K293" s="23">
        <v>13</v>
      </c>
      <c r="L293" s="23">
        <v>1</v>
      </c>
      <c r="M293" s="23" t="s">
        <v>161</v>
      </c>
      <c r="N293" s="23">
        <v>0</v>
      </c>
      <c r="P293" s="23">
        <v>0</v>
      </c>
      <c r="S293" s="23"/>
    </row>
    <row r="294" spans="1:19">
      <c r="A294" s="23" t="s">
        <v>101</v>
      </c>
      <c r="B294" s="23" t="s">
        <v>82</v>
      </c>
      <c r="C294" s="23" t="s">
        <v>21</v>
      </c>
      <c r="D294" s="23" t="s">
        <v>180</v>
      </c>
      <c r="E294" s="23">
        <v>1</v>
      </c>
      <c r="F294" s="23" t="s">
        <v>50</v>
      </c>
      <c r="G294" s="23" t="s">
        <v>151</v>
      </c>
      <c r="H294" s="23">
        <v>5</v>
      </c>
      <c r="I294" s="23">
        <v>40</v>
      </c>
      <c r="J294" s="23">
        <v>8000</v>
      </c>
      <c r="K294" s="23">
        <v>13</v>
      </c>
      <c r="L294" s="23">
        <v>1</v>
      </c>
      <c r="M294" s="23" t="s">
        <v>161</v>
      </c>
      <c r="N294" s="23">
        <v>0</v>
      </c>
      <c r="P294" s="23">
        <v>0</v>
      </c>
      <c r="S294" s="23"/>
    </row>
    <row r="295" spans="1:19">
      <c r="A295" s="23" t="s">
        <v>101</v>
      </c>
      <c r="B295" s="23" t="s">
        <v>82</v>
      </c>
      <c r="C295" s="23" t="s">
        <v>21</v>
      </c>
      <c r="D295" s="23" t="s">
        <v>180</v>
      </c>
      <c r="E295" s="23">
        <v>1</v>
      </c>
      <c r="F295" s="23" t="s">
        <v>50</v>
      </c>
      <c r="G295" s="23" t="s">
        <v>152</v>
      </c>
      <c r="H295" s="23">
        <v>6</v>
      </c>
      <c r="I295" s="23">
        <v>40</v>
      </c>
      <c r="J295" s="23">
        <v>8000</v>
      </c>
      <c r="K295" s="23">
        <v>13</v>
      </c>
      <c r="L295" s="23">
        <v>1</v>
      </c>
      <c r="M295" s="23" t="s">
        <v>160</v>
      </c>
      <c r="N295" s="23">
        <v>1</v>
      </c>
      <c r="O295" s="23" t="s">
        <v>193</v>
      </c>
      <c r="P295" s="23">
        <v>1</v>
      </c>
      <c r="Q295" s="23" t="s">
        <v>193</v>
      </c>
      <c r="R295" s="23">
        <v>0</v>
      </c>
      <c r="S295" s="23">
        <v>15.62072656809509</v>
      </c>
    </row>
    <row r="296" spans="1:19">
      <c r="A296" s="23" t="s">
        <v>101</v>
      </c>
      <c r="B296" s="23" t="s">
        <v>82</v>
      </c>
      <c r="C296" s="23" t="s">
        <v>14</v>
      </c>
      <c r="D296" s="23" t="s">
        <v>180</v>
      </c>
      <c r="E296" s="23">
        <v>2</v>
      </c>
      <c r="F296" s="23" t="s">
        <v>52</v>
      </c>
      <c r="G296" s="23" t="s">
        <v>153</v>
      </c>
      <c r="H296" s="23">
        <v>1</v>
      </c>
      <c r="I296" s="23">
        <v>40</v>
      </c>
      <c r="J296" s="23">
        <v>8000</v>
      </c>
      <c r="K296" s="23">
        <v>13</v>
      </c>
      <c r="L296" s="23">
        <v>2</v>
      </c>
      <c r="M296" s="23" t="s">
        <v>160</v>
      </c>
      <c r="N296" s="23">
        <v>0</v>
      </c>
      <c r="P296" s="23">
        <v>0</v>
      </c>
      <c r="S296" s="23"/>
    </row>
    <row r="297" spans="1:19">
      <c r="A297" s="23" t="s">
        <v>101</v>
      </c>
      <c r="B297" s="23" t="s">
        <v>82</v>
      </c>
      <c r="C297" s="23" t="s">
        <v>14</v>
      </c>
      <c r="D297" s="23" t="s">
        <v>180</v>
      </c>
      <c r="E297" s="23">
        <v>2</v>
      </c>
      <c r="F297" s="23" t="s">
        <v>52</v>
      </c>
      <c r="G297" s="23" t="s">
        <v>154</v>
      </c>
      <c r="H297" s="23">
        <v>2</v>
      </c>
      <c r="I297" s="23">
        <v>40</v>
      </c>
      <c r="J297" s="23">
        <v>8000</v>
      </c>
      <c r="K297" s="23">
        <v>13</v>
      </c>
      <c r="L297" s="23">
        <v>2</v>
      </c>
      <c r="M297" s="23" t="s">
        <v>161</v>
      </c>
      <c r="N297" s="23">
        <v>0</v>
      </c>
      <c r="P297" s="23">
        <v>0</v>
      </c>
      <c r="S297" s="23"/>
    </row>
    <row r="298" spans="1:19">
      <c r="A298" s="23" t="s">
        <v>101</v>
      </c>
      <c r="B298" s="23" t="s">
        <v>82</v>
      </c>
      <c r="C298" s="23" t="s">
        <v>14</v>
      </c>
      <c r="D298" s="23" t="s">
        <v>180</v>
      </c>
      <c r="E298" s="23">
        <v>2</v>
      </c>
      <c r="F298" s="23" t="s">
        <v>51</v>
      </c>
      <c r="G298" s="23" t="s">
        <v>155</v>
      </c>
      <c r="H298" s="23">
        <v>3</v>
      </c>
      <c r="I298" s="23">
        <v>40</v>
      </c>
      <c r="J298" s="23">
        <v>8000</v>
      </c>
      <c r="K298" s="23">
        <v>13</v>
      </c>
      <c r="L298" s="23">
        <v>2</v>
      </c>
      <c r="M298" s="23" t="s">
        <v>161</v>
      </c>
      <c r="N298" s="23">
        <v>0</v>
      </c>
      <c r="P298" s="23">
        <v>0</v>
      </c>
      <c r="S298" s="23"/>
    </row>
    <row r="299" spans="1:19">
      <c r="A299" s="23" t="s">
        <v>101</v>
      </c>
      <c r="B299" s="23" t="s">
        <v>82</v>
      </c>
      <c r="C299" s="23" t="s">
        <v>14</v>
      </c>
      <c r="D299" s="23" t="s">
        <v>180</v>
      </c>
      <c r="E299" s="23">
        <v>2</v>
      </c>
      <c r="F299" s="23" t="s">
        <v>51</v>
      </c>
      <c r="G299" s="23" t="s">
        <v>156</v>
      </c>
      <c r="H299" s="23">
        <v>4</v>
      </c>
      <c r="I299" s="23">
        <v>40</v>
      </c>
      <c r="J299" s="23">
        <v>8000</v>
      </c>
      <c r="K299" s="23">
        <v>13</v>
      </c>
      <c r="L299" s="23">
        <v>2</v>
      </c>
      <c r="M299" s="23" t="s">
        <v>160</v>
      </c>
      <c r="N299" s="23">
        <v>0</v>
      </c>
      <c r="P299" s="23">
        <v>0</v>
      </c>
      <c r="S299" s="23"/>
    </row>
    <row r="300" spans="1:19">
      <c r="A300" s="23" t="s">
        <v>101</v>
      </c>
      <c r="B300" s="23" t="s">
        <v>82</v>
      </c>
      <c r="C300" s="23" t="s">
        <v>14</v>
      </c>
      <c r="D300" s="23" t="s">
        <v>180</v>
      </c>
      <c r="E300" s="23">
        <v>2</v>
      </c>
      <c r="F300" s="23" t="s">
        <v>51</v>
      </c>
      <c r="G300" s="23" t="s">
        <v>157</v>
      </c>
      <c r="H300" s="23">
        <v>5</v>
      </c>
      <c r="I300" s="23">
        <v>40</v>
      </c>
      <c r="J300" s="23">
        <v>8000</v>
      </c>
      <c r="K300" s="23">
        <v>13</v>
      </c>
      <c r="L300" s="23">
        <v>2</v>
      </c>
      <c r="M300" s="23" t="s">
        <v>161</v>
      </c>
      <c r="N300" s="23">
        <v>0</v>
      </c>
      <c r="P300" s="23">
        <v>0</v>
      </c>
      <c r="S300" s="26"/>
    </row>
    <row r="301" spans="1:19">
      <c r="A301" s="23" t="s">
        <v>101</v>
      </c>
      <c r="B301" s="23" t="s">
        <v>82</v>
      </c>
      <c r="C301" s="23" t="s">
        <v>14</v>
      </c>
      <c r="D301" s="23" t="s">
        <v>180</v>
      </c>
      <c r="E301" s="23">
        <v>2</v>
      </c>
      <c r="F301" s="23" t="s">
        <v>51</v>
      </c>
      <c r="G301" s="23" t="s">
        <v>158</v>
      </c>
      <c r="H301" s="23">
        <v>6</v>
      </c>
      <c r="I301" s="23">
        <v>40</v>
      </c>
      <c r="J301" s="23">
        <v>8000</v>
      </c>
      <c r="K301" s="23">
        <v>13</v>
      </c>
      <c r="L301" s="23">
        <v>2</v>
      </c>
      <c r="M301" s="23" t="s">
        <v>160</v>
      </c>
      <c r="N301" s="23">
        <v>1</v>
      </c>
      <c r="O301" s="23" t="s">
        <v>190</v>
      </c>
      <c r="P301" s="23">
        <v>1</v>
      </c>
      <c r="R301" s="23">
        <v>0</v>
      </c>
      <c r="S301" s="26">
        <v>3.9728765718532135</v>
      </c>
    </row>
    <row r="302" spans="1:19">
      <c r="A302" s="23" t="s">
        <v>101</v>
      </c>
      <c r="B302" s="23" t="s">
        <v>82</v>
      </c>
      <c r="C302" s="23" t="s">
        <v>22</v>
      </c>
      <c r="D302" s="23" t="s">
        <v>180</v>
      </c>
      <c r="E302" s="23">
        <v>3</v>
      </c>
      <c r="F302" s="23" t="s">
        <v>58</v>
      </c>
      <c r="G302" s="23" t="s">
        <v>156</v>
      </c>
      <c r="H302" s="23">
        <v>1</v>
      </c>
      <c r="I302" s="23">
        <v>40</v>
      </c>
      <c r="J302" s="23">
        <v>8000</v>
      </c>
      <c r="K302" s="23">
        <v>13</v>
      </c>
      <c r="L302" s="23">
        <v>3</v>
      </c>
      <c r="M302" s="23" t="s">
        <v>161</v>
      </c>
      <c r="N302" s="23">
        <v>0</v>
      </c>
      <c r="P302" s="23">
        <v>0</v>
      </c>
      <c r="S302" s="23"/>
    </row>
    <row r="303" spans="1:19">
      <c r="A303" s="23" t="s">
        <v>101</v>
      </c>
      <c r="B303" s="23" t="s">
        <v>82</v>
      </c>
      <c r="C303" s="23" t="s">
        <v>22</v>
      </c>
      <c r="D303" s="23" t="s">
        <v>180</v>
      </c>
      <c r="E303" s="23">
        <v>3</v>
      </c>
      <c r="F303" s="23" t="s">
        <v>58</v>
      </c>
      <c r="G303" s="23" t="s">
        <v>157</v>
      </c>
      <c r="H303" s="23">
        <v>2</v>
      </c>
      <c r="I303" s="23">
        <v>40</v>
      </c>
      <c r="J303" s="23">
        <v>8000</v>
      </c>
      <c r="K303" s="23">
        <v>13</v>
      </c>
      <c r="L303" s="23">
        <v>3</v>
      </c>
      <c r="M303" s="23" t="s">
        <v>160</v>
      </c>
      <c r="N303" s="23">
        <v>0</v>
      </c>
      <c r="P303" s="23">
        <v>0</v>
      </c>
      <c r="S303" s="23"/>
    </row>
    <row r="304" spans="1:19">
      <c r="A304" s="23" t="s">
        <v>101</v>
      </c>
      <c r="B304" s="23" t="s">
        <v>82</v>
      </c>
      <c r="C304" s="23" t="s">
        <v>22</v>
      </c>
      <c r="D304" s="23" t="s">
        <v>180</v>
      </c>
      <c r="E304" s="23">
        <v>3</v>
      </c>
      <c r="F304" s="23" t="s">
        <v>58</v>
      </c>
      <c r="G304" s="23" t="s">
        <v>153</v>
      </c>
      <c r="H304" s="23">
        <v>3</v>
      </c>
      <c r="I304" s="23">
        <v>40</v>
      </c>
      <c r="J304" s="23">
        <v>8000</v>
      </c>
      <c r="K304" s="23">
        <v>13</v>
      </c>
      <c r="L304" s="23">
        <v>3</v>
      </c>
      <c r="M304" s="23" t="s">
        <v>161</v>
      </c>
      <c r="N304" s="23">
        <v>0</v>
      </c>
      <c r="P304" s="23">
        <v>0</v>
      </c>
      <c r="S304" s="23"/>
    </row>
    <row r="305" spans="1:19">
      <c r="A305" s="23" t="s">
        <v>101</v>
      </c>
      <c r="B305" s="23" t="s">
        <v>82</v>
      </c>
      <c r="C305" s="23" t="s">
        <v>22</v>
      </c>
      <c r="D305" s="23" t="s">
        <v>180</v>
      </c>
      <c r="E305" s="23">
        <v>3</v>
      </c>
      <c r="F305" s="23" t="s">
        <v>58</v>
      </c>
      <c r="G305" s="23" t="s">
        <v>158</v>
      </c>
      <c r="H305" s="23">
        <v>4</v>
      </c>
      <c r="I305" s="23">
        <v>40</v>
      </c>
      <c r="J305" s="23">
        <v>8000</v>
      </c>
      <c r="K305" s="23">
        <v>13</v>
      </c>
      <c r="L305" s="23">
        <v>3</v>
      </c>
      <c r="M305" s="23" t="s">
        <v>161</v>
      </c>
      <c r="N305" s="23">
        <v>1</v>
      </c>
      <c r="O305" s="23" t="s">
        <v>193</v>
      </c>
      <c r="P305" s="23">
        <v>1</v>
      </c>
      <c r="Q305" s="23" t="s">
        <v>193</v>
      </c>
      <c r="S305" s="23"/>
    </row>
    <row r="306" spans="1:19">
      <c r="A306" s="23" t="s">
        <v>101</v>
      </c>
      <c r="B306" s="23" t="s">
        <v>82</v>
      </c>
      <c r="C306" s="23" t="s">
        <v>22</v>
      </c>
      <c r="D306" s="23" t="s">
        <v>180</v>
      </c>
      <c r="E306" s="23">
        <v>3</v>
      </c>
      <c r="F306" s="23" t="s">
        <v>58</v>
      </c>
      <c r="G306" s="23" t="s">
        <v>155</v>
      </c>
      <c r="H306" s="23">
        <v>5</v>
      </c>
      <c r="I306" s="23">
        <v>40</v>
      </c>
      <c r="J306" s="23">
        <v>8000</v>
      </c>
      <c r="K306" s="23">
        <v>13</v>
      </c>
      <c r="L306" s="23">
        <v>3</v>
      </c>
      <c r="M306" s="23" t="s">
        <v>160</v>
      </c>
      <c r="N306" s="23">
        <v>1</v>
      </c>
      <c r="O306" s="23" t="s">
        <v>192</v>
      </c>
      <c r="P306" s="23">
        <v>1</v>
      </c>
      <c r="Q306" s="23" t="s">
        <v>193</v>
      </c>
      <c r="S306" s="26"/>
    </row>
    <row r="307" spans="1:19">
      <c r="A307" s="23" t="s">
        <v>101</v>
      </c>
      <c r="B307" s="23" t="s">
        <v>82</v>
      </c>
      <c r="C307" s="23" t="s">
        <v>22</v>
      </c>
      <c r="D307" s="23" t="s">
        <v>180</v>
      </c>
      <c r="E307" s="23">
        <v>3</v>
      </c>
      <c r="F307" s="23" t="s">
        <v>58</v>
      </c>
      <c r="G307" s="23" t="s">
        <v>154</v>
      </c>
      <c r="H307" s="23">
        <v>6</v>
      </c>
      <c r="I307" s="23">
        <v>40</v>
      </c>
      <c r="J307" s="23">
        <v>8000</v>
      </c>
      <c r="K307" s="23">
        <v>13</v>
      </c>
      <c r="L307" s="23">
        <v>3</v>
      </c>
      <c r="M307" s="23" t="s">
        <v>160</v>
      </c>
      <c r="N307" s="23">
        <v>1</v>
      </c>
      <c r="O307" s="23" t="s">
        <v>193</v>
      </c>
      <c r="P307" s="23">
        <v>1</v>
      </c>
      <c r="Q307" s="23" t="s">
        <v>193</v>
      </c>
      <c r="R307" s="23">
        <v>0</v>
      </c>
      <c r="S307" s="26">
        <v>8.7242039298666807</v>
      </c>
    </row>
    <row r="308" spans="1:19">
      <c r="A308" s="23" t="s">
        <v>44</v>
      </c>
      <c r="B308" s="23" t="s">
        <v>82</v>
      </c>
      <c r="C308" s="23" t="s">
        <v>21</v>
      </c>
      <c r="D308" s="23" t="s">
        <v>183</v>
      </c>
      <c r="E308" s="23">
        <v>1</v>
      </c>
      <c r="F308" s="23" t="s">
        <v>50</v>
      </c>
      <c r="G308" s="23" t="s">
        <v>147</v>
      </c>
      <c r="H308" s="23">
        <v>1</v>
      </c>
      <c r="I308" s="23">
        <v>55</v>
      </c>
      <c r="J308" s="23">
        <v>6000</v>
      </c>
      <c r="K308" s="23">
        <v>38</v>
      </c>
      <c r="L308" s="23">
        <v>1</v>
      </c>
      <c r="M308" s="23" t="s">
        <v>160</v>
      </c>
      <c r="N308" s="23">
        <v>0</v>
      </c>
      <c r="P308" s="23">
        <v>0</v>
      </c>
      <c r="S308" s="23"/>
    </row>
    <row r="309" spans="1:19">
      <c r="A309" s="23" t="s">
        <v>44</v>
      </c>
      <c r="B309" s="23" t="s">
        <v>82</v>
      </c>
      <c r="C309" s="23" t="s">
        <v>21</v>
      </c>
      <c r="D309" s="23" t="s">
        <v>183</v>
      </c>
      <c r="E309" s="23">
        <v>1</v>
      </c>
      <c r="F309" s="23" t="s">
        <v>50</v>
      </c>
      <c r="G309" s="23" t="s">
        <v>148</v>
      </c>
      <c r="H309" s="23">
        <v>2</v>
      </c>
      <c r="I309" s="23">
        <v>55</v>
      </c>
      <c r="J309" s="23">
        <v>6000</v>
      </c>
      <c r="K309" s="23">
        <v>38</v>
      </c>
      <c r="L309" s="23">
        <v>1</v>
      </c>
      <c r="M309" s="23" t="s">
        <v>161</v>
      </c>
      <c r="N309" s="23">
        <v>0</v>
      </c>
      <c r="P309" s="23">
        <v>0</v>
      </c>
      <c r="S309" s="23"/>
    </row>
    <row r="310" spans="1:19">
      <c r="A310" s="23" t="s">
        <v>102</v>
      </c>
      <c r="B310" s="23" t="s">
        <v>82</v>
      </c>
      <c r="C310" s="23" t="s">
        <v>21</v>
      </c>
      <c r="D310" s="23" t="s">
        <v>182</v>
      </c>
      <c r="E310" s="23">
        <v>1</v>
      </c>
      <c r="F310" s="23" t="s">
        <v>50</v>
      </c>
      <c r="G310" s="23" t="s">
        <v>149</v>
      </c>
      <c r="H310" s="23">
        <v>3</v>
      </c>
      <c r="I310" s="23">
        <v>55</v>
      </c>
      <c r="J310" s="23">
        <v>6000</v>
      </c>
      <c r="K310" s="23">
        <v>38</v>
      </c>
      <c r="L310" s="23">
        <v>1</v>
      </c>
      <c r="M310" s="23" t="s">
        <v>160</v>
      </c>
      <c r="N310" s="23">
        <v>0</v>
      </c>
      <c r="P310" s="23">
        <v>0</v>
      </c>
      <c r="S310" s="23"/>
    </row>
    <row r="311" spans="1:19">
      <c r="A311" s="23" t="s">
        <v>102</v>
      </c>
      <c r="B311" s="23" t="s">
        <v>82</v>
      </c>
      <c r="C311" s="23" t="s">
        <v>21</v>
      </c>
      <c r="D311" s="23" t="s">
        <v>182</v>
      </c>
      <c r="E311" s="23">
        <v>1</v>
      </c>
      <c r="F311" s="23" t="s">
        <v>50</v>
      </c>
      <c r="G311" s="23" t="s">
        <v>150</v>
      </c>
      <c r="H311" s="23">
        <v>4</v>
      </c>
      <c r="I311" s="23">
        <v>55</v>
      </c>
      <c r="J311" s="23">
        <v>6000</v>
      </c>
      <c r="K311" s="23">
        <v>38</v>
      </c>
      <c r="L311" s="23">
        <v>1</v>
      </c>
      <c r="M311" s="23" t="s">
        <v>161</v>
      </c>
      <c r="N311" s="23">
        <v>0</v>
      </c>
      <c r="P311" s="23">
        <v>0</v>
      </c>
      <c r="S311" s="23"/>
    </row>
    <row r="312" spans="1:19">
      <c r="A312" s="23" t="s">
        <v>102</v>
      </c>
      <c r="B312" s="23" t="s">
        <v>82</v>
      </c>
      <c r="C312" s="23" t="s">
        <v>21</v>
      </c>
      <c r="D312" s="23" t="s">
        <v>182</v>
      </c>
      <c r="E312" s="23">
        <v>1</v>
      </c>
      <c r="F312" s="23" t="s">
        <v>50</v>
      </c>
      <c r="G312" s="23" t="s">
        <v>151</v>
      </c>
      <c r="H312" s="23">
        <v>5</v>
      </c>
      <c r="I312" s="23">
        <v>55</v>
      </c>
      <c r="J312" s="23">
        <v>6000</v>
      </c>
      <c r="K312" s="23">
        <v>38</v>
      </c>
      <c r="L312" s="23">
        <v>1</v>
      </c>
      <c r="M312" s="23" t="s">
        <v>161</v>
      </c>
      <c r="N312" s="23">
        <v>0</v>
      </c>
      <c r="P312" s="23">
        <v>0</v>
      </c>
      <c r="S312" s="23"/>
    </row>
    <row r="313" spans="1:19">
      <c r="A313" s="23" t="s">
        <v>102</v>
      </c>
      <c r="B313" s="23" t="s">
        <v>82</v>
      </c>
      <c r="C313" s="23" t="s">
        <v>21</v>
      </c>
      <c r="D313" s="23" t="s">
        <v>182</v>
      </c>
      <c r="E313" s="23">
        <v>1</v>
      </c>
      <c r="F313" s="23" t="s">
        <v>50</v>
      </c>
      <c r="G313" s="23" t="s">
        <v>152</v>
      </c>
      <c r="H313" s="23">
        <v>6</v>
      </c>
      <c r="I313" s="23">
        <v>55</v>
      </c>
      <c r="J313" s="23">
        <v>6000</v>
      </c>
      <c r="K313" s="23">
        <v>38</v>
      </c>
      <c r="L313" s="23">
        <v>1</v>
      </c>
      <c r="M313" s="23" t="s">
        <v>160</v>
      </c>
      <c r="N313" s="23">
        <v>1</v>
      </c>
      <c r="O313" s="23" t="s">
        <v>192</v>
      </c>
      <c r="P313" s="23">
        <v>1</v>
      </c>
      <c r="Q313" s="23" t="s">
        <v>193</v>
      </c>
      <c r="R313" s="27">
        <v>0</v>
      </c>
      <c r="S313" s="23">
        <v>4.6036669508643238</v>
      </c>
    </row>
    <row r="314" spans="1:19">
      <c r="A314" s="23" t="s">
        <v>102</v>
      </c>
      <c r="B314" s="23" t="s">
        <v>82</v>
      </c>
      <c r="C314" s="23" t="s">
        <v>22</v>
      </c>
      <c r="D314" s="23" t="s">
        <v>182</v>
      </c>
      <c r="E314" s="23">
        <v>2</v>
      </c>
      <c r="F314" s="23" t="s">
        <v>52</v>
      </c>
      <c r="G314" s="23" t="s">
        <v>153</v>
      </c>
      <c r="H314" s="23">
        <v>1</v>
      </c>
      <c r="I314" s="23">
        <v>55</v>
      </c>
      <c r="J314" s="23">
        <v>6000</v>
      </c>
      <c r="K314" s="23">
        <v>38</v>
      </c>
      <c r="L314" s="23">
        <v>2</v>
      </c>
      <c r="M314" s="23" t="s">
        <v>160</v>
      </c>
      <c r="N314" s="23">
        <v>0</v>
      </c>
      <c r="P314" s="23">
        <v>0</v>
      </c>
      <c r="S314" s="23"/>
    </row>
    <row r="315" spans="1:19">
      <c r="A315" s="23" t="s">
        <v>102</v>
      </c>
      <c r="B315" s="23" t="s">
        <v>82</v>
      </c>
      <c r="C315" s="23" t="s">
        <v>22</v>
      </c>
      <c r="D315" s="23" t="s">
        <v>182</v>
      </c>
      <c r="E315" s="23">
        <v>2</v>
      </c>
      <c r="F315" s="23" t="s">
        <v>52</v>
      </c>
      <c r="G315" s="23" t="s">
        <v>154</v>
      </c>
      <c r="H315" s="23">
        <v>2</v>
      </c>
      <c r="I315" s="23">
        <v>55</v>
      </c>
      <c r="J315" s="23">
        <v>6000</v>
      </c>
      <c r="K315" s="23">
        <v>38</v>
      </c>
      <c r="L315" s="23">
        <v>2</v>
      </c>
      <c r="M315" s="23" t="s">
        <v>161</v>
      </c>
      <c r="N315" s="23">
        <v>0</v>
      </c>
      <c r="P315" s="23">
        <v>0</v>
      </c>
      <c r="S315" s="23"/>
    </row>
    <row r="316" spans="1:19">
      <c r="A316" s="23" t="s">
        <v>102</v>
      </c>
      <c r="B316" s="23" t="s">
        <v>82</v>
      </c>
      <c r="C316" s="23" t="s">
        <v>22</v>
      </c>
      <c r="D316" s="23" t="s">
        <v>182</v>
      </c>
      <c r="E316" s="23">
        <v>2</v>
      </c>
      <c r="F316" s="23" t="s">
        <v>51</v>
      </c>
      <c r="G316" s="23" t="s">
        <v>155</v>
      </c>
      <c r="H316" s="23">
        <v>3</v>
      </c>
      <c r="I316" s="23">
        <v>55</v>
      </c>
      <c r="J316" s="23">
        <v>6000</v>
      </c>
      <c r="K316" s="23">
        <v>38</v>
      </c>
      <c r="L316" s="23">
        <v>2</v>
      </c>
      <c r="M316" s="23" t="s">
        <v>161</v>
      </c>
      <c r="N316" s="23">
        <v>0</v>
      </c>
      <c r="P316" s="23">
        <v>0</v>
      </c>
      <c r="S316" s="23"/>
    </row>
    <row r="317" spans="1:19">
      <c r="A317" s="23" t="s">
        <v>102</v>
      </c>
      <c r="B317" s="23" t="s">
        <v>82</v>
      </c>
      <c r="C317" s="23" t="s">
        <v>22</v>
      </c>
      <c r="D317" s="23" t="s">
        <v>182</v>
      </c>
      <c r="E317" s="23">
        <v>2</v>
      </c>
      <c r="F317" s="23" t="s">
        <v>51</v>
      </c>
      <c r="G317" s="23" t="s">
        <v>156</v>
      </c>
      <c r="H317" s="23">
        <v>4</v>
      </c>
      <c r="I317" s="23">
        <v>55</v>
      </c>
      <c r="J317" s="23">
        <v>6000</v>
      </c>
      <c r="K317" s="23">
        <v>38</v>
      </c>
      <c r="L317" s="23">
        <v>2</v>
      </c>
      <c r="M317" s="23" t="s">
        <v>160</v>
      </c>
      <c r="N317" s="23">
        <v>1</v>
      </c>
      <c r="O317" s="23" t="s">
        <v>192</v>
      </c>
      <c r="P317" s="23">
        <v>1</v>
      </c>
      <c r="Q317" s="23" t="s">
        <v>193</v>
      </c>
      <c r="S317" s="23"/>
    </row>
    <row r="318" spans="1:19">
      <c r="A318" s="23" t="s">
        <v>102</v>
      </c>
      <c r="B318" s="23" t="s">
        <v>82</v>
      </c>
      <c r="C318" s="23" t="s">
        <v>22</v>
      </c>
      <c r="D318" s="23" t="s">
        <v>182</v>
      </c>
      <c r="E318" s="23">
        <v>2</v>
      </c>
      <c r="F318" s="23" t="s">
        <v>51</v>
      </c>
      <c r="G318" s="23" t="s">
        <v>157</v>
      </c>
      <c r="H318" s="23">
        <v>5</v>
      </c>
      <c r="I318" s="23">
        <v>55</v>
      </c>
      <c r="J318" s="23">
        <v>6000</v>
      </c>
      <c r="K318" s="23">
        <v>38</v>
      </c>
      <c r="L318" s="23">
        <v>2</v>
      </c>
      <c r="M318" s="23" t="s">
        <v>161</v>
      </c>
      <c r="N318" s="23">
        <v>0</v>
      </c>
      <c r="P318" s="23">
        <v>0</v>
      </c>
      <c r="S318" s="26"/>
    </row>
    <row r="319" spans="1:19">
      <c r="A319" s="23" t="s">
        <v>102</v>
      </c>
      <c r="B319" s="23" t="s">
        <v>82</v>
      </c>
      <c r="C319" s="23" t="s">
        <v>22</v>
      </c>
      <c r="D319" s="23" t="s">
        <v>182</v>
      </c>
      <c r="E319" s="23">
        <v>2</v>
      </c>
      <c r="F319" s="23" t="s">
        <v>51</v>
      </c>
      <c r="G319" s="23" t="s">
        <v>158</v>
      </c>
      <c r="H319" s="23">
        <v>6</v>
      </c>
      <c r="I319" s="23">
        <v>55</v>
      </c>
      <c r="J319" s="23">
        <v>6000</v>
      </c>
      <c r="K319" s="23">
        <v>38</v>
      </c>
      <c r="L319" s="23">
        <v>2</v>
      </c>
      <c r="M319" s="23" t="s">
        <v>160</v>
      </c>
      <c r="N319" s="23">
        <v>1</v>
      </c>
      <c r="O319" s="23" t="s">
        <v>190</v>
      </c>
      <c r="P319" s="23">
        <v>1</v>
      </c>
      <c r="Q319" s="23" t="s">
        <v>190</v>
      </c>
      <c r="R319" s="23">
        <v>0</v>
      </c>
      <c r="S319" s="26">
        <v>5.359484730924585</v>
      </c>
    </row>
    <row r="320" spans="1:19">
      <c r="A320" s="23" t="s">
        <v>102</v>
      </c>
      <c r="B320" s="23" t="s">
        <v>82</v>
      </c>
      <c r="C320" s="23" t="s">
        <v>14</v>
      </c>
      <c r="D320" s="23" t="s">
        <v>182</v>
      </c>
      <c r="E320" s="23">
        <v>3</v>
      </c>
      <c r="F320" s="23" t="s">
        <v>58</v>
      </c>
      <c r="G320" s="23" t="s">
        <v>156</v>
      </c>
      <c r="H320" s="23">
        <v>1</v>
      </c>
      <c r="I320" s="23">
        <v>55</v>
      </c>
      <c r="J320" s="23">
        <v>6000</v>
      </c>
      <c r="K320" s="23">
        <v>38</v>
      </c>
      <c r="L320" s="23">
        <v>3</v>
      </c>
      <c r="M320" s="23" t="s">
        <v>161</v>
      </c>
      <c r="N320" s="23">
        <v>0</v>
      </c>
      <c r="P320" s="23">
        <v>0</v>
      </c>
      <c r="S320" s="23"/>
    </row>
    <row r="321" spans="1:19">
      <c r="A321" s="23" t="s">
        <v>102</v>
      </c>
      <c r="B321" s="23" t="s">
        <v>82</v>
      </c>
      <c r="C321" s="23" t="s">
        <v>14</v>
      </c>
      <c r="D321" s="23" t="s">
        <v>182</v>
      </c>
      <c r="E321" s="23">
        <v>3</v>
      </c>
      <c r="F321" s="23" t="s">
        <v>58</v>
      </c>
      <c r="G321" s="23" t="s">
        <v>157</v>
      </c>
      <c r="H321" s="23">
        <v>2</v>
      </c>
      <c r="I321" s="23">
        <v>55</v>
      </c>
      <c r="J321" s="23">
        <v>6000</v>
      </c>
      <c r="K321" s="23">
        <v>38</v>
      </c>
      <c r="L321" s="23">
        <v>3</v>
      </c>
      <c r="M321" s="23" t="s">
        <v>160</v>
      </c>
      <c r="N321" s="23">
        <v>0</v>
      </c>
      <c r="P321" s="23">
        <v>0</v>
      </c>
      <c r="S321" s="23"/>
    </row>
    <row r="322" spans="1:19">
      <c r="A322" s="23" t="s">
        <v>102</v>
      </c>
      <c r="B322" s="23" t="s">
        <v>82</v>
      </c>
      <c r="C322" s="23" t="s">
        <v>14</v>
      </c>
      <c r="D322" s="23" t="s">
        <v>182</v>
      </c>
      <c r="E322" s="23">
        <v>3</v>
      </c>
      <c r="F322" s="23" t="s">
        <v>58</v>
      </c>
      <c r="G322" s="23" t="s">
        <v>153</v>
      </c>
      <c r="H322" s="23">
        <v>3</v>
      </c>
      <c r="I322" s="23">
        <v>55</v>
      </c>
      <c r="J322" s="23">
        <v>6000</v>
      </c>
      <c r="K322" s="23">
        <v>38</v>
      </c>
      <c r="L322" s="23">
        <v>3</v>
      </c>
      <c r="M322" s="23" t="s">
        <v>161</v>
      </c>
      <c r="N322" s="23">
        <v>0</v>
      </c>
      <c r="P322" s="23">
        <v>0</v>
      </c>
      <c r="S322" s="23"/>
    </row>
    <row r="323" spans="1:19">
      <c r="A323" s="23" t="s">
        <v>102</v>
      </c>
      <c r="B323" s="23" t="s">
        <v>82</v>
      </c>
      <c r="C323" s="23" t="s">
        <v>14</v>
      </c>
      <c r="D323" s="23" t="s">
        <v>182</v>
      </c>
      <c r="E323" s="23">
        <v>3</v>
      </c>
      <c r="F323" s="23" t="s">
        <v>58</v>
      </c>
      <c r="G323" s="23" t="s">
        <v>158</v>
      </c>
      <c r="H323" s="23">
        <v>4</v>
      </c>
      <c r="I323" s="23">
        <v>55</v>
      </c>
      <c r="J323" s="23">
        <v>6000</v>
      </c>
      <c r="K323" s="23">
        <v>38</v>
      </c>
      <c r="L323" s="23">
        <v>3</v>
      </c>
      <c r="M323" s="23" t="s">
        <v>161</v>
      </c>
      <c r="N323" s="23">
        <v>0</v>
      </c>
      <c r="P323" s="23">
        <v>0</v>
      </c>
      <c r="S323" s="23"/>
    </row>
    <row r="324" spans="1:19">
      <c r="A324" s="23" t="s">
        <v>102</v>
      </c>
      <c r="B324" s="23" t="s">
        <v>82</v>
      </c>
      <c r="C324" s="23" t="s">
        <v>14</v>
      </c>
      <c r="D324" s="23" t="s">
        <v>182</v>
      </c>
      <c r="E324" s="23">
        <v>3</v>
      </c>
      <c r="F324" s="23" t="s">
        <v>58</v>
      </c>
      <c r="G324" s="23" t="s">
        <v>155</v>
      </c>
      <c r="H324" s="23">
        <v>5</v>
      </c>
      <c r="I324" s="23">
        <v>55</v>
      </c>
      <c r="J324" s="23">
        <v>6000</v>
      </c>
      <c r="K324" s="23">
        <v>38</v>
      </c>
      <c r="L324" s="23">
        <v>3</v>
      </c>
      <c r="M324" s="23" t="s">
        <v>160</v>
      </c>
      <c r="N324" s="23">
        <v>0</v>
      </c>
      <c r="P324" s="23">
        <v>0</v>
      </c>
      <c r="S324" s="26"/>
    </row>
    <row r="325" spans="1:19">
      <c r="A325" s="23" t="s">
        <v>102</v>
      </c>
      <c r="B325" s="23" t="s">
        <v>82</v>
      </c>
      <c r="C325" s="23" t="s">
        <v>14</v>
      </c>
      <c r="D325" s="23" t="s">
        <v>182</v>
      </c>
      <c r="E325" s="23">
        <v>3</v>
      </c>
      <c r="F325" s="23" t="s">
        <v>58</v>
      </c>
      <c r="G325" s="23" t="s">
        <v>154</v>
      </c>
      <c r="H325" s="23">
        <v>6</v>
      </c>
      <c r="I325" s="23">
        <v>55</v>
      </c>
      <c r="J325" s="23">
        <v>6000</v>
      </c>
      <c r="K325" s="23">
        <v>38</v>
      </c>
      <c r="L325" s="23">
        <v>3</v>
      </c>
      <c r="M325" s="23" t="s">
        <v>160</v>
      </c>
      <c r="N325" s="23">
        <v>1</v>
      </c>
      <c r="O325" s="23" t="s">
        <v>190</v>
      </c>
      <c r="P325" s="23">
        <v>1</v>
      </c>
      <c r="R325" s="23">
        <v>0</v>
      </c>
      <c r="S325" s="26">
        <v>1.5796000809678781</v>
      </c>
    </row>
    <row r="326" spans="1:19">
      <c r="A326" s="23" t="s">
        <v>64</v>
      </c>
      <c r="B326" s="23" t="s">
        <v>82</v>
      </c>
      <c r="C326" s="23" t="s">
        <v>14</v>
      </c>
      <c r="D326" s="23" t="s">
        <v>185</v>
      </c>
      <c r="E326" s="23">
        <v>1</v>
      </c>
      <c r="F326" s="23" t="s">
        <v>50</v>
      </c>
      <c r="G326" s="23" t="s">
        <v>147</v>
      </c>
      <c r="H326" s="23">
        <v>1</v>
      </c>
      <c r="I326" s="23">
        <v>47</v>
      </c>
      <c r="J326" s="23">
        <v>5000</v>
      </c>
      <c r="K326" s="23">
        <v>5</v>
      </c>
      <c r="L326" s="23">
        <v>1</v>
      </c>
      <c r="M326" s="23" t="s">
        <v>160</v>
      </c>
      <c r="N326" s="23">
        <v>1</v>
      </c>
      <c r="O326" s="23" t="s">
        <v>190</v>
      </c>
      <c r="P326" s="23">
        <v>1</v>
      </c>
      <c r="S326" s="23"/>
    </row>
    <row r="327" spans="1:19">
      <c r="A327" s="23" t="s">
        <v>64</v>
      </c>
      <c r="B327" s="23" t="s">
        <v>82</v>
      </c>
      <c r="C327" s="23" t="s">
        <v>14</v>
      </c>
      <c r="D327" s="23" t="s">
        <v>185</v>
      </c>
      <c r="E327" s="23">
        <v>1</v>
      </c>
      <c r="F327" s="23" t="s">
        <v>50</v>
      </c>
      <c r="G327" s="23" t="s">
        <v>148</v>
      </c>
      <c r="H327" s="23">
        <v>2</v>
      </c>
      <c r="I327" s="23">
        <v>47</v>
      </c>
      <c r="J327" s="23">
        <v>5000</v>
      </c>
      <c r="K327" s="23">
        <v>5</v>
      </c>
      <c r="L327" s="23">
        <v>1</v>
      </c>
      <c r="M327" s="23" t="s">
        <v>161</v>
      </c>
      <c r="N327" s="23">
        <v>0</v>
      </c>
      <c r="P327" s="23">
        <v>0</v>
      </c>
      <c r="S327" s="23"/>
    </row>
    <row r="328" spans="1:19">
      <c r="A328" s="23" t="s">
        <v>103</v>
      </c>
      <c r="B328" s="23" t="s">
        <v>82</v>
      </c>
      <c r="C328" s="23" t="s">
        <v>14</v>
      </c>
      <c r="D328" s="23" t="s">
        <v>184</v>
      </c>
      <c r="E328" s="23">
        <v>1</v>
      </c>
      <c r="F328" s="23" t="s">
        <v>50</v>
      </c>
      <c r="G328" s="23" t="s">
        <v>149</v>
      </c>
      <c r="H328" s="23">
        <v>3</v>
      </c>
      <c r="I328" s="23">
        <v>47</v>
      </c>
      <c r="J328" s="23">
        <v>5000</v>
      </c>
      <c r="K328" s="23">
        <v>5</v>
      </c>
      <c r="L328" s="23">
        <v>1</v>
      </c>
      <c r="M328" s="23" t="s">
        <v>160</v>
      </c>
      <c r="N328" s="23">
        <v>0</v>
      </c>
      <c r="P328" s="23">
        <v>0</v>
      </c>
      <c r="S328" s="23"/>
    </row>
    <row r="329" spans="1:19">
      <c r="A329" s="23" t="s">
        <v>103</v>
      </c>
      <c r="B329" s="23" t="s">
        <v>82</v>
      </c>
      <c r="C329" s="23" t="s">
        <v>14</v>
      </c>
      <c r="D329" s="23" t="s">
        <v>184</v>
      </c>
      <c r="E329" s="23">
        <v>1</v>
      </c>
      <c r="F329" s="23" t="s">
        <v>50</v>
      </c>
      <c r="G329" s="23" t="s">
        <v>150</v>
      </c>
      <c r="H329" s="23">
        <v>4</v>
      </c>
      <c r="I329" s="23">
        <v>47</v>
      </c>
      <c r="J329" s="23">
        <v>5000</v>
      </c>
      <c r="K329" s="23">
        <v>5</v>
      </c>
      <c r="L329" s="23">
        <v>1</v>
      </c>
      <c r="M329" s="23" t="s">
        <v>161</v>
      </c>
      <c r="N329" s="23">
        <v>0</v>
      </c>
      <c r="P329" s="23">
        <v>0</v>
      </c>
      <c r="S329" s="23"/>
    </row>
    <row r="330" spans="1:19">
      <c r="A330" s="23" t="s">
        <v>103</v>
      </c>
      <c r="B330" s="23" t="s">
        <v>82</v>
      </c>
      <c r="C330" s="23" t="s">
        <v>14</v>
      </c>
      <c r="D330" s="23" t="s">
        <v>184</v>
      </c>
      <c r="E330" s="23">
        <v>1</v>
      </c>
      <c r="F330" s="23" t="s">
        <v>50</v>
      </c>
      <c r="G330" s="23" t="s">
        <v>151</v>
      </c>
      <c r="H330" s="23">
        <v>5</v>
      </c>
      <c r="I330" s="23">
        <v>47</v>
      </c>
      <c r="J330" s="23">
        <v>5000</v>
      </c>
      <c r="K330" s="23">
        <v>5</v>
      </c>
      <c r="L330" s="23">
        <v>1</v>
      </c>
      <c r="M330" s="23" t="s">
        <v>161</v>
      </c>
      <c r="N330" s="23">
        <v>0</v>
      </c>
      <c r="P330" s="23">
        <v>0</v>
      </c>
      <c r="S330" s="23"/>
    </row>
    <row r="331" spans="1:19">
      <c r="A331" s="23" t="s">
        <v>103</v>
      </c>
      <c r="B331" s="23" t="s">
        <v>82</v>
      </c>
      <c r="C331" s="23" t="s">
        <v>14</v>
      </c>
      <c r="D331" s="23" t="s">
        <v>184</v>
      </c>
      <c r="E331" s="23">
        <v>1</v>
      </c>
      <c r="F331" s="23" t="s">
        <v>50</v>
      </c>
      <c r="G331" s="23" t="s">
        <v>152</v>
      </c>
      <c r="H331" s="23">
        <v>6</v>
      </c>
      <c r="I331" s="23">
        <v>47</v>
      </c>
      <c r="J331" s="23">
        <v>5000</v>
      </c>
      <c r="K331" s="23">
        <v>5</v>
      </c>
      <c r="L331" s="23">
        <v>1</v>
      </c>
      <c r="M331" s="23" t="s">
        <v>160</v>
      </c>
      <c r="N331" s="23">
        <v>1</v>
      </c>
      <c r="O331" s="23" t="s">
        <v>190</v>
      </c>
      <c r="P331" s="23">
        <v>1</v>
      </c>
      <c r="R331" s="23">
        <v>0</v>
      </c>
      <c r="S331" s="23">
        <v>5.2578671315679149</v>
      </c>
    </row>
    <row r="332" spans="1:19">
      <c r="A332" s="23" t="s">
        <v>103</v>
      </c>
      <c r="B332" s="23" t="s">
        <v>82</v>
      </c>
      <c r="C332" s="23" t="s">
        <v>21</v>
      </c>
      <c r="D332" s="23" t="s">
        <v>184</v>
      </c>
      <c r="E332" s="23">
        <v>2</v>
      </c>
      <c r="F332" s="23" t="s">
        <v>52</v>
      </c>
      <c r="G332" s="23" t="s">
        <v>153</v>
      </c>
      <c r="H332" s="23">
        <v>1</v>
      </c>
      <c r="I332" s="23">
        <v>47</v>
      </c>
      <c r="J332" s="23">
        <v>5000</v>
      </c>
      <c r="K332" s="23">
        <v>5</v>
      </c>
      <c r="L332" s="23">
        <v>2</v>
      </c>
      <c r="M332" s="23" t="s">
        <v>160</v>
      </c>
      <c r="N332" s="23">
        <v>0</v>
      </c>
      <c r="P332" s="23">
        <v>0</v>
      </c>
      <c r="S332" s="23"/>
    </row>
    <row r="333" spans="1:19">
      <c r="A333" s="23" t="s">
        <v>103</v>
      </c>
      <c r="B333" s="23" t="s">
        <v>82</v>
      </c>
      <c r="C333" s="23" t="s">
        <v>21</v>
      </c>
      <c r="D333" s="23" t="s">
        <v>184</v>
      </c>
      <c r="E333" s="23">
        <v>2</v>
      </c>
      <c r="F333" s="23" t="s">
        <v>52</v>
      </c>
      <c r="G333" s="23" t="s">
        <v>154</v>
      </c>
      <c r="H333" s="23">
        <v>2</v>
      </c>
      <c r="I333" s="23">
        <v>47</v>
      </c>
      <c r="J333" s="23">
        <v>5000</v>
      </c>
      <c r="K333" s="23">
        <v>5</v>
      </c>
      <c r="L333" s="23">
        <v>2</v>
      </c>
      <c r="M333" s="23" t="s">
        <v>161</v>
      </c>
      <c r="N333" s="23">
        <v>0</v>
      </c>
      <c r="P333" s="23">
        <v>0</v>
      </c>
      <c r="S333" s="23"/>
    </row>
    <row r="334" spans="1:19">
      <c r="A334" s="23" t="s">
        <v>103</v>
      </c>
      <c r="B334" s="23" t="s">
        <v>82</v>
      </c>
      <c r="C334" s="23" t="s">
        <v>21</v>
      </c>
      <c r="D334" s="23" t="s">
        <v>184</v>
      </c>
      <c r="E334" s="23">
        <v>2</v>
      </c>
      <c r="F334" s="23" t="s">
        <v>51</v>
      </c>
      <c r="G334" s="23" t="s">
        <v>155</v>
      </c>
      <c r="H334" s="23">
        <v>3</v>
      </c>
      <c r="I334" s="23">
        <v>47</v>
      </c>
      <c r="J334" s="23">
        <v>5000</v>
      </c>
      <c r="K334" s="23">
        <v>5</v>
      </c>
      <c r="L334" s="23">
        <v>2</v>
      </c>
      <c r="M334" s="23" t="s">
        <v>161</v>
      </c>
      <c r="N334" s="23">
        <v>0</v>
      </c>
      <c r="P334" s="23">
        <v>0</v>
      </c>
      <c r="S334" s="23"/>
    </row>
    <row r="335" spans="1:19">
      <c r="A335" s="23" t="s">
        <v>103</v>
      </c>
      <c r="B335" s="23" t="s">
        <v>82</v>
      </c>
      <c r="C335" s="23" t="s">
        <v>21</v>
      </c>
      <c r="D335" s="23" t="s">
        <v>184</v>
      </c>
      <c r="E335" s="23">
        <v>2</v>
      </c>
      <c r="F335" s="23" t="s">
        <v>51</v>
      </c>
      <c r="G335" s="23" t="s">
        <v>156</v>
      </c>
      <c r="H335" s="23">
        <v>4</v>
      </c>
      <c r="I335" s="23">
        <v>47</v>
      </c>
      <c r="J335" s="23">
        <v>5000</v>
      </c>
      <c r="K335" s="23">
        <v>5</v>
      </c>
      <c r="L335" s="23">
        <v>2</v>
      </c>
      <c r="M335" s="23" t="s">
        <v>160</v>
      </c>
      <c r="N335" s="23">
        <v>0</v>
      </c>
      <c r="P335" s="23">
        <v>0</v>
      </c>
      <c r="S335" s="23"/>
    </row>
    <row r="336" spans="1:19">
      <c r="A336" s="23" t="s">
        <v>103</v>
      </c>
      <c r="B336" s="23" t="s">
        <v>82</v>
      </c>
      <c r="C336" s="23" t="s">
        <v>21</v>
      </c>
      <c r="D336" s="23" t="s">
        <v>184</v>
      </c>
      <c r="E336" s="23">
        <v>2</v>
      </c>
      <c r="F336" s="23" t="s">
        <v>51</v>
      </c>
      <c r="G336" s="23" t="s">
        <v>157</v>
      </c>
      <c r="H336" s="23">
        <v>5</v>
      </c>
      <c r="I336" s="23">
        <v>47</v>
      </c>
      <c r="J336" s="23">
        <v>5000</v>
      </c>
      <c r="K336" s="23">
        <v>5</v>
      </c>
      <c r="L336" s="23">
        <v>2</v>
      </c>
      <c r="M336" s="23" t="s">
        <v>161</v>
      </c>
      <c r="N336" s="23">
        <v>0</v>
      </c>
      <c r="P336" s="23">
        <v>0</v>
      </c>
      <c r="S336" s="26"/>
    </row>
    <row r="337" spans="1:19">
      <c r="A337" s="23" t="s">
        <v>103</v>
      </c>
      <c r="B337" s="23" t="s">
        <v>82</v>
      </c>
      <c r="C337" s="23" t="s">
        <v>21</v>
      </c>
      <c r="D337" s="23" t="s">
        <v>184</v>
      </c>
      <c r="E337" s="23">
        <v>2</v>
      </c>
      <c r="F337" s="23" t="s">
        <v>51</v>
      </c>
      <c r="G337" s="23" t="s">
        <v>158</v>
      </c>
      <c r="H337" s="23">
        <v>6</v>
      </c>
      <c r="I337" s="23">
        <v>47</v>
      </c>
      <c r="J337" s="23">
        <v>5000</v>
      </c>
      <c r="K337" s="23">
        <v>5</v>
      </c>
      <c r="L337" s="23">
        <v>2</v>
      </c>
      <c r="M337" s="23" t="s">
        <v>160</v>
      </c>
      <c r="N337" s="23">
        <v>1</v>
      </c>
      <c r="O337" s="23" t="s">
        <v>192</v>
      </c>
      <c r="P337" s="23">
        <v>1</v>
      </c>
      <c r="Q337" s="23" t="s">
        <v>462</v>
      </c>
      <c r="R337" s="23">
        <v>0</v>
      </c>
      <c r="S337" s="26">
        <v>5.5269343900988162</v>
      </c>
    </row>
    <row r="338" spans="1:19">
      <c r="A338" s="23" t="s">
        <v>103</v>
      </c>
      <c r="B338" s="23" t="s">
        <v>82</v>
      </c>
      <c r="C338" s="23" t="s">
        <v>22</v>
      </c>
      <c r="D338" s="23" t="s">
        <v>184</v>
      </c>
      <c r="E338" s="23">
        <v>3</v>
      </c>
      <c r="F338" s="23" t="s">
        <v>58</v>
      </c>
      <c r="G338" s="23" t="s">
        <v>156</v>
      </c>
      <c r="H338" s="23">
        <v>1</v>
      </c>
      <c r="I338" s="23">
        <v>47</v>
      </c>
      <c r="J338" s="23">
        <v>5000</v>
      </c>
      <c r="K338" s="23">
        <v>5</v>
      </c>
      <c r="L338" s="23">
        <v>3</v>
      </c>
      <c r="M338" s="23" t="s">
        <v>161</v>
      </c>
      <c r="N338" s="23">
        <v>0</v>
      </c>
      <c r="P338" s="23">
        <v>0</v>
      </c>
      <c r="S338" s="23"/>
    </row>
    <row r="339" spans="1:19">
      <c r="A339" s="23" t="s">
        <v>103</v>
      </c>
      <c r="B339" s="23" t="s">
        <v>82</v>
      </c>
      <c r="C339" s="23" t="s">
        <v>22</v>
      </c>
      <c r="D339" s="23" t="s">
        <v>184</v>
      </c>
      <c r="E339" s="23">
        <v>3</v>
      </c>
      <c r="F339" s="23" t="s">
        <v>58</v>
      </c>
      <c r="G339" s="23" t="s">
        <v>157</v>
      </c>
      <c r="H339" s="23">
        <v>2</v>
      </c>
      <c r="I339" s="23">
        <v>47</v>
      </c>
      <c r="J339" s="23">
        <v>5000</v>
      </c>
      <c r="K339" s="23">
        <v>5</v>
      </c>
      <c r="L339" s="23">
        <v>3</v>
      </c>
      <c r="M339" s="23" t="s">
        <v>160</v>
      </c>
      <c r="N339" s="23">
        <v>1</v>
      </c>
      <c r="O339" s="23" t="s">
        <v>190</v>
      </c>
      <c r="P339" s="23">
        <v>1</v>
      </c>
      <c r="Q339" s="23" t="s">
        <v>190</v>
      </c>
      <c r="S339" s="23"/>
    </row>
    <row r="340" spans="1:19">
      <c r="A340" s="23" t="s">
        <v>103</v>
      </c>
      <c r="B340" s="23" t="s">
        <v>82</v>
      </c>
      <c r="C340" s="23" t="s">
        <v>22</v>
      </c>
      <c r="D340" s="23" t="s">
        <v>184</v>
      </c>
      <c r="E340" s="23">
        <v>3</v>
      </c>
      <c r="F340" s="23" t="s">
        <v>58</v>
      </c>
      <c r="G340" s="23" t="s">
        <v>153</v>
      </c>
      <c r="H340" s="23">
        <v>3</v>
      </c>
      <c r="I340" s="23">
        <v>47</v>
      </c>
      <c r="J340" s="23">
        <v>5000</v>
      </c>
      <c r="K340" s="23">
        <v>5</v>
      </c>
      <c r="L340" s="23">
        <v>3</v>
      </c>
      <c r="M340" s="23" t="s">
        <v>161</v>
      </c>
      <c r="N340" s="23">
        <v>0</v>
      </c>
      <c r="P340" s="23">
        <v>0</v>
      </c>
      <c r="S340" s="23"/>
    </row>
    <row r="341" spans="1:19">
      <c r="A341" s="23" t="s">
        <v>103</v>
      </c>
      <c r="B341" s="23" t="s">
        <v>82</v>
      </c>
      <c r="C341" s="23" t="s">
        <v>22</v>
      </c>
      <c r="D341" s="23" t="s">
        <v>184</v>
      </c>
      <c r="E341" s="23">
        <v>3</v>
      </c>
      <c r="F341" s="23" t="s">
        <v>58</v>
      </c>
      <c r="G341" s="23" t="s">
        <v>158</v>
      </c>
      <c r="H341" s="23">
        <v>4</v>
      </c>
      <c r="I341" s="23">
        <v>47</v>
      </c>
      <c r="J341" s="23">
        <v>5000</v>
      </c>
      <c r="K341" s="23">
        <v>5</v>
      </c>
      <c r="L341" s="23">
        <v>3</v>
      </c>
      <c r="M341" s="23" t="s">
        <v>161</v>
      </c>
      <c r="N341" s="23">
        <v>0</v>
      </c>
      <c r="P341" s="23">
        <v>0</v>
      </c>
      <c r="S341" s="23"/>
    </row>
    <row r="342" spans="1:19">
      <c r="A342" s="23" t="s">
        <v>103</v>
      </c>
      <c r="B342" s="23" t="s">
        <v>82</v>
      </c>
      <c r="C342" s="23" t="s">
        <v>22</v>
      </c>
      <c r="D342" s="23" t="s">
        <v>184</v>
      </c>
      <c r="E342" s="23">
        <v>3</v>
      </c>
      <c r="F342" s="23" t="s">
        <v>58</v>
      </c>
      <c r="G342" s="23" t="s">
        <v>155</v>
      </c>
      <c r="H342" s="23">
        <v>5</v>
      </c>
      <c r="I342" s="23">
        <v>47</v>
      </c>
      <c r="J342" s="23">
        <v>5000</v>
      </c>
      <c r="K342" s="23">
        <v>5</v>
      </c>
      <c r="L342" s="23">
        <v>3</v>
      </c>
      <c r="M342" s="23" t="s">
        <v>160</v>
      </c>
      <c r="N342" s="23">
        <v>0</v>
      </c>
      <c r="P342" s="23">
        <v>0</v>
      </c>
      <c r="S342" s="26"/>
    </row>
    <row r="343" spans="1:19">
      <c r="A343" s="23" t="s">
        <v>103</v>
      </c>
      <c r="B343" s="23" t="s">
        <v>82</v>
      </c>
      <c r="C343" s="23" t="s">
        <v>22</v>
      </c>
      <c r="D343" s="23" t="s">
        <v>184</v>
      </c>
      <c r="E343" s="23">
        <v>3</v>
      </c>
      <c r="F343" s="23" t="s">
        <v>58</v>
      </c>
      <c r="G343" s="23" t="s">
        <v>154</v>
      </c>
      <c r="H343" s="23">
        <v>6</v>
      </c>
      <c r="I343" s="23">
        <v>47</v>
      </c>
      <c r="J343" s="23">
        <v>5000</v>
      </c>
      <c r="K343" s="23">
        <v>5</v>
      </c>
      <c r="L343" s="23">
        <v>3</v>
      </c>
      <c r="M343" s="23" t="s">
        <v>160</v>
      </c>
      <c r="N343" s="23">
        <v>1</v>
      </c>
      <c r="O343" s="23" t="s">
        <v>190</v>
      </c>
      <c r="P343" s="23">
        <v>1</v>
      </c>
      <c r="Q343" s="23" t="s">
        <v>190</v>
      </c>
      <c r="R343" s="23">
        <v>0</v>
      </c>
      <c r="S343" s="26">
        <v>5.9902730886761439</v>
      </c>
    </row>
    <row r="344" spans="1:19">
      <c r="A344" s="23" t="s">
        <v>24</v>
      </c>
      <c r="B344" s="23" t="s">
        <v>66</v>
      </c>
      <c r="C344" s="23" t="s">
        <v>14</v>
      </c>
      <c r="D344" s="23" t="s">
        <v>173</v>
      </c>
      <c r="E344" s="23">
        <v>1</v>
      </c>
      <c r="F344" s="23" t="s">
        <v>50</v>
      </c>
      <c r="G344" s="23" t="s">
        <v>147</v>
      </c>
      <c r="H344" s="23">
        <v>1</v>
      </c>
      <c r="I344" s="23">
        <v>23</v>
      </c>
      <c r="J344" s="23">
        <v>10000</v>
      </c>
      <c r="K344" s="23">
        <v>4</v>
      </c>
      <c r="L344" s="23">
        <v>1</v>
      </c>
      <c r="M344" s="23" t="s">
        <v>160</v>
      </c>
      <c r="N344" s="23">
        <v>0</v>
      </c>
      <c r="P344" s="23">
        <v>0</v>
      </c>
      <c r="S344" s="23"/>
    </row>
    <row r="345" spans="1:19">
      <c r="A345" s="23" t="s">
        <v>24</v>
      </c>
      <c r="B345" s="23" t="s">
        <v>66</v>
      </c>
      <c r="C345" s="23" t="s">
        <v>14</v>
      </c>
      <c r="D345" s="23" t="s">
        <v>173</v>
      </c>
      <c r="E345" s="23">
        <v>1</v>
      </c>
      <c r="F345" s="23" t="s">
        <v>50</v>
      </c>
      <c r="G345" s="23" t="s">
        <v>148</v>
      </c>
      <c r="H345" s="23">
        <v>2</v>
      </c>
      <c r="I345" s="23">
        <v>23</v>
      </c>
      <c r="J345" s="23">
        <v>10000</v>
      </c>
      <c r="K345" s="23">
        <v>4</v>
      </c>
      <c r="L345" s="23">
        <v>1</v>
      </c>
      <c r="M345" s="23" t="s">
        <v>161</v>
      </c>
      <c r="N345" s="23">
        <v>0</v>
      </c>
      <c r="P345" s="23">
        <v>0</v>
      </c>
      <c r="S345" s="23"/>
    </row>
    <row r="346" spans="1:19">
      <c r="A346" s="23" t="s">
        <v>106</v>
      </c>
      <c r="B346" s="23" t="s">
        <v>66</v>
      </c>
      <c r="C346" s="23" t="s">
        <v>14</v>
      </c>
      <c r="D346" s="23" t="s">
        <v>164</v>
      </c>
      <c r="E346" s="23">
        <v>1</v>
      </c>
      <c r="F346" s="23" t="s">
        <v>50</v>
      </c>
      <c r="G346" s="23" t="s">
        <v>149</v>
      </c>
      <c r="H346" s="23">
        <v>3</v>
      </c>
      <c r="I346" s="23">
        <v>23</v>
      </c>
      <c r="J346" s="23">
        <v>10000</v>
      </c>
      <c r="K346" s="23">
        <v>4</v>
      </c>
      <c r="L346" s="23">
        <v>1</v>
      </c>
      <c r="M346" s="23" t="s">
        <v>160</v>
      </c>
      <c r="N346" s="23">
        <v>0</v>
      </c>
      <c r="P346" s="23">
        <v>0</v>
      </c>
      <c r="S346" s="23"/>
    </row>
    <row r="347" spans="1:19">
      <c r="A347" s="23" t="s">
        <v>106</v>
      </c>
      <c r="B347" s="23" t="s">
        <v>66</v>
      </c>
      <c r="C347" s="23" t="s">
        <v>14</v>
      </c>
      <c r="D347" s="23" t="s">
        <v>164</v>
      </c>
      <c r="E347" s="23">
        <v>1</v>
      </c>
      <c r="F347" s="23" t="s">
        <v>50</v>
      </c>
      <c r="G347" s="23" t="s">
        <v>150</v>
      </c>
      <c r="H347" s="23">
        <v>4</v>
      </c>
      <c r="I347" s="23">
        <v>23</v>
      </c>
      <c r="J347" s="23">
        <v>10000</v>
      </c>
      <c r="K347" s="23">
        <v>4</v>
      </c>
      <c r="L347" s="23">
        <v>1</v>
      </c>
      <c r="M347" s="23" t="s">
        <v>161</v>
      </c>
      <c r="N347" s="23">
        <v>1</v>
      </c>
      <c r="O347" s="23" t="s">
        <v>190</v>
      </c>
      <c r="P347" s="23">
        <v>1</v>
      </c>
      <c r="S347" s="23"/>
    </row>
    <row r="348" spans="1:19">
      <c r="A348" s="23" t="s">
        <v>106</v>
      </c>
      <c r="B348" s="23" t="s">
        <v>66</v>
      </c>
      <c r="C348" s="23" t="s">
        <v>14</v>
      </c>
      <c r="D348" s="23" t="s">
        <v>164</v>
      </c>
      <c r="E348" s="23">
        <v>1</v>
      </c>
      <c r="F348" s="23" t="s">
        <v>50</v>
      </c>
      <c r="G348" s="23" t="s">
        <v>151</v>
      </c>
      <c r="H348" s="23">
        <v>5</v>
      </c>
      <c r="I348" s="23">
        <v>23</v>
      </c>
      <c r="J348" s="23">
        <v>10000</v>
      </c>
      <c r="K348" s="23">
        <v>4</v>
      </c>
      <c r="L348" s="23">
        <v>1</v>
      </c>
      <c r="M348" s="23" t="s">
        <v>161</v>
      </c>
      <c r="N348" s="23">
        <v>0</v>
      </c>
      <c r="P348" s="23">
        <v>0</v>
      </c>
      <c r="S348" s="23"/>
    </row>
    <row r="349" spans="1:19">
      <c r="A349" s="23" t="s">
        <v>106</v>
      </c>
      <c r="B349" s="23" t="s">
        <v>66</v>
      </c>
      <c r="C349" s="23" t="s">
        <v>14</v>
      </c>
      <c r="D349" s="23" t="s">
        <v>164</v>
      </c>
      <c r="E349" s="23">
        <v>1</v>
      </c>
      <c r="F349" s="23" t="s">
        <v>50</v>
      </c>
      <c r="G349" s="23" t="s">
        <v>152</v>
      </c>
      <c r="H349" s="23">
        <v>6</v>
      </c>
      <c r="I349" s="23">
        <v>23</v>
      </c>
      <c r="J349" s="23">
        <v>10000</v>
      </c>
      <c r="K349" s="23">
        <v>4</v>
      </c>
      <c r="L349" s="23">
        <v>1</v>
      </c>
      <c r="M349" s="23" t="s">
        <v>160</v>
      </c>
      <c r="N349" s="23">
        <v>1</v>
      </c>
      <c r="O349" s="23" t="s">
        <v>190</v>
      </c>
      <c r="P349" s="23">
        <v>1</v>
      </c>
      <c r="R349" s="23">
        <v>0</v>
      </c>
      <c r="S349" s="23">
        <v>4.2344075169650761</v>
      </c>
    </row>
    <row r="350" spans="1:19">
      <c r="A350" s="23" t="s">
        <v>106</v>
      </c>
      <c r="B350" s="23" t="s">
        <v>66</v>
      </c>
      <c r="C350" s="23" t="s">
        <v>21</v>
      </c>
      <c r="D350" s="23" t="s">
        <v>164</v>
      </c>
      <c r="E350" s="23">
        <v>3</v>
      </c>
      <c r="F350" s="23" t="s">
        <v>52</v>
      </c>
      <c r="G350" s="23" t="s">
        <v>153</v>
      </c>
      <c r="H350" s="23">
        <v>1</v>
      </c>
      <c r="I350" s="23">
        <v>23</v>
      </c>
      <c r="J350" s="23">
        <v>10000</v>
      </c>
      <c r="K350" s="23">
        <v>4</v>
      </c>
      <c r="L350" s="23">
        <v>3</v>
      </c>
      <c r="M350" s="23" t="s">
        <v>160</v>
      </c>
      <c r="N350" s="23">
        <v>0</v>
      </c>
      <c r="P350" s="23">
        <v>0</v>
      </c>
      <c r="S350" s="23"/>
    </row>
    <row r="351" spans="1:19">
      <c r="A351" s="23" t="s">
        <v>106</v>
      </c>
      <c r="B351" s="23" t="s">
        <v>66</v>
      </c>
      <c r="C351" s="23" t="s">
        <v>21</v>
      </c>
      <c r="D351" s="23" t="s">
        <v>164</v>
      </c>
      <c r="E351" s="23">
        <v>3</v>
      </c>
      <c r="F351" s="23" t="s">
        <v>52</v>
      </c>
      <c r="G351" s="23" t="s">
        <v>154</v>
      </c>
      <c r="H351" s="23">
        <v>2</v>
      </c>
      <c r="I351" s="23">
        <v>23</v>
      </c>
      <c r="J351" s="23">
        <v>10000</v>
      </c>
      <c r="K351" s="23">
        <v>4</v>
      </c>
      <c r="L351" s="23">
        <v>3</v>
      </c>
      <c r="M351" s="23" t="s">
        <v>161</v>
      </c>
      <c r="N351" s="23">
        <v>0</v>
      </c>
      <c r="P351" s="23">
        <v>0</v>
      </c>
      <c r="S351" s="23"/>
    </row>
    <row r="352" spans="1:19">
      <c r="A352" s="23" t="s">
        <v>106</v>
      </c>
      <c r="B352" s="23" t="s">
        <v>66</v>
      </c>
      <c r="C352" s="23" t="s">
        <v>21</v>
      </c>
      <c r="D352" s="23" t="s">
        <v>164</v>
      </c>
      <c r="E352" s="23">
        <v>3</v>
      </c>
      <c r="F352" s="23" t="s">
        <v>51</v>
      </c>
      <c r="G352" s="23" t="s">
        <v>155</v>
      </c>
      <c r="H352" s="23">
        <v>3</v>
      </c>
      <c r="I352" s="23">
        <v>23</v>
      </c>
      <c r="J352" s="23">
        <v>10000</v>
      </c>
      <c r="K352" s="23">
        <v>4</v>
      </c>
      <c r="L352" s="23">
        <v>3</v>
      </c>
      <c r="M352" s="23" t="s">
        <v>161</v>
      </c>
      <c r="N352" s="23">
        <v>0</v>
      </c>
      <c r="P352" s="23">
        <v>0</v>
      </c>
      <c r="S352" s="23"/>
    </row>
    <row r="353" spans="1:19">
      <c r="A353" s="23" t="s">
        <v>106</v>
      </c>
      <c r="B353" s="23" t="s">
        <v>66</v>
      </c>
      <c r="C353" s="23" t="s">
        <v>21</v>
      </c>
      <c r="D353" s="23" t="s">
        <v>164</v>
      </c>
      <c r="E353" s="23">
        <v>3</v>
      </c>
      <c r="F353" s="23" t="s">
        <v>51</v>
      </c>
      <c r="G353" s="23" t="s">
        <v>156</v>
      </c>
      <c r="H353" s="23">
        <v>4</v>
      </c>
      <c r="I353" s="23">
        <v>23</v>
      </c>
      <c r="J353" s="23">
        <v>10000</v>
      </c>
      <c r="K353" s="23">
        <v>4</v>
      </c>
      <c r="L353" s="23">
        <v>3</v>
      </c>
      <c r="M353" s="23" t="s">
        <v>160</v>
      </c>
      <c r="N353" s="23">
        <v>0</v>
      </c>
      <c r="P353" s="23">
        <v>0</v>
      </c>
      <c r="S353" s="23"/>
    </row>
    <row r="354" spans="1:19">
      <c r="A354" s="23" t="s">
        <v>106</v>
      </c>
      <c r="B354" s="23" t="s">
        <v>66</v>
      </c>
      <c r="C354" s="23" t="s">
        <v>21</v>
      </c>
      <c r="D354" s="23" t="s">
        <v>164</v>
      </c>
      <c r="E354" s="23">
        <v>3</v>
      </c>
      <c r="F354" s="23" t="s">
        <v>51</v>
      </c>
      <c r="G354" s="23" t="s">
        <v>157</v>
      </c>
      <c r="H354" s="23">
        <v>5</v>
      </c>
      <c r="I354" s="23">
        <v>23</v>
      </c>
      <c r="J354" s="23">
        <v>10000</v>
      </c>
      <c r="K354" s="23">
        <v>4</v>
      </c>
      <c r="L354" s="23">
        <v>3</v>
      </c>
      <c r="M354" s="23" t="s">
        <v>161</v>
      </c>
      <c r="N354" s="23">
        <v>0</v>
      </c>
      <c r="P354" s="23">
        <v>0</v>
      </c>
      <c r="S354" s="26"/>
    </row>
    <row r="355" spans="1:19">
      <c r="A355" s="23" t="s">
        <v>106</v>
      </c>
      <c r="B355" s="23" t="s">
        <v>66</v>
      </c>
      <c r="C355" s="23" t="s">
        <v>21</v>
      </c>
      <c r="D355" s="23" t="s">
        <v>174</v>
      </c>
      <c r="E355" s="23">
        <v>3</v>
      </c>
      <c r="F355" s="23" t="s">
        <v>51</v>
      </c>
      <c r="G355" s="23" t="s">
        <v>158</v>
      </c>
      <c r="H355" s="23">
        <v>6</v>
      </c>
      <c r="I355" s="23">
        <v>23</v>
      </c>
      <c r="J355" s="23">
        <v>10000</v>
      </c>
      <c r="K355" s="23">
        <v>4</v>
      </c>
      <c r="L355" s="23">
        <v>3</v>
      </c>
      <c r="M355" s="23" t="s">
        <v>160</v>
      </c>
      <c r="N355" s="23">
        <v>1</v>
      </c>
      <c r="O355" s="23" t="s">
        <v>190</v>
      </c>
      <c r="P355" s="23">
        <v>1</v>
      </c>
      <c r="Q355" s="23" t="s">
        <v>190</v>
      </c>
      <c r="R355" s="23">
        <v>0</v>
      </c>
      <c r="S355" s="26">
        <v>5.3745102770098159</v>
      </c>
    </row>
    <row r="356" spans="1:19">
      <c r="A356" s="23" t="s">
        <v>106</v>
      </c>
      <c r="B356" s="23" t="s">
        <v>66</v>
      </c>
      <c r="C356" s="23" t="s">
        <v>22</v>
      </c>
      <c r="D356" s="23" t="s">
        <v>164</v>
      </c>
      <c r="E356" s="23">
        <v>2</v>
      </c>
      <c r="F356" s="23" t="s">
        <v>58</v>
      </c>
      <c r="G356" s="23" t="s">
        <v>156</v>
      </c>
      <c r="H356" s="23">
        <v>1</v>
      </c>
      <c r="I356" s="23">
        <v>23</v>
      </c>
      <c r="J356" s="23">
        <v>10000</v>
      </c>
      <c r="K356" s="23">
        <v>4</v>
      </c>
      <c r="L356" s="23">
        <v>2</v>
      </c>
      <c r="M356" s="23" t="s">
        <v>161</v>
      </c>
      <c r="N356" s="23">
        <v>0</v>
      </c>
      <c r="P356" s="23">
        <v>0</v>
      </c>
      <c r="S356" s="23"/>
    </row>
    <row r="357" spans="1:19">
      <c r="A357" s="23" t="s">
        <v>106</v>
      </c>
      <c r="B357" s="23" t="s">
        <v>66</v>
      </c>
      <c r="C357" s="23" t="s">
        <v>22</v>
      </c>
      <c r="D357" s="23" t="s">
        <v>164</v>
      </c>
      <c r="E357" s="23">
        <v>2</v>
      </c>
      <c r="F357" s="23" t="s">
        <v>58</v>
      </c>
      <c r="G357" s="23" t="s">
        <v>157</v>
      </c>
      <c r="H357" s="23">
        <v>2</v>
      </c>
      <c r="I357" s="23">
        <v>23</v>
      </c>
      <c r="J357" s="23">
        <v>10000</v>
      </c>
      <c r="K357" s="23">
        <v>4</v>
      </c>
      <c r="L357" s="23">
        <v>2</v>
      </c>
      <c r="M357" s="23" t="s">
        <v>160</v>
      </c>
      <c r="N357" s="23">
        <v>0</v>
      </c>
      <c r="P357" s="23">
        <v>0</v>
      </c>
      <c r="S357" s="23"/>
    </row>
    <row r="358" spans="1:19">
      <c r="A358" s="23" t="s">
        <v>106</v>
      </c>
      <c r="B358" s="23" t="s">
        <v>66</v>
      </c>
      <c r="C358" s="23" t="s">
        <v>22</v>
      </c>
      <c r="D358" s="23" t="s">
        <v>164</v>
      </c>
      <c r="E358" s="23">
        <v>2</v>
      </c>
      <c r="F358" s="23" t="s">
        <v>58</v>
      </c>
      <c r="G358" s="23" t="s">
        <v>153</v>
      </c>
      <c r="H358" s="23">
        <v>3</v>
      </c>
      <c r="I358" s="23">
        <v>23</v>
      </c>
      <c r="J358" s="23">
        <v>10000</v>
      </c>
      <c r="K358" s="23">
        <v>4</v>
      </c>
      <c r="L358" s="23">
        <v>2</v>
      </c>
      <c r="M358" s="23" t="s">
        <v>161</v>
      </c>
      <c r="N358" s="23">
        <v>0</v>
      </c>
      <c r="P358" s="23">
        <v>0</v>
      </c>
      <c r="S358" s="23"/>
    </row>
    <row r="359" spans="1:19">
      <c r="A359" s="23" t="s">
        <v>106</v>
      </c>
      <c r="B359" s="23" t="s">
        <v>66</v>
      </c>
      <c r="C359" s="23" t="s">
        <v>22</v>
      </c>
      <c r="D359" s="23" t="s">
        <v>164</v>
      </c>
      <c r="E359" s="23">
        <v>2</v>
      </c>
      <c r="F359" s="23" t="s">
        <v>58</v>
      </c>
      <c r="G359" s="23" t="s">
        <v>158</v>
      </c>
      <c r="H359" s="23">
        <v>4</v>
      </c>
      <c r="I359" s="23">
        <v>23</v>
      </c>
      <c r="J359" s="23">
        <v>10000</v>
      </c>
      <c r="K359" s="23">
        <v>4</v>
      </c>
      <c r="L359" s="23">
        <v>2</v>
      </c>
      <c r="M359" s="23" t="s">
        <v>161</v>
      </c>
      <c r="N359" s="23">
        <v>0</v>
      </c>
      <c r="P359" s="23">
        <v>0</v>
      </c>
      <c r="S359" s="23"/>
    </row>
    <row r="360" spans="1:19">
      <c r="A360" s="23" t="s">
        <v>106</v>
      </c>
      <c r="B360" s="23" t="s">
        <v>66</v>
      </c>
      <c r="C360" s="23" t="s">
        <v>22</v>
      </c>
      <c r="D360" s="23" t="s">
        <v>164</v>
      </c>
      <c r="E360" s="23">
        <v>2</v>
      </c>
      <c r="F360" s="23" t="s">
        <v>58</v>
      </c>
      <c r="G360" s="23" t="s">
        <v>155</v>
      </c>
      <c r="H360" s="23">
        <v>5</v>
      </c>
      <c r="I360" s="23">
        <v>23</v>
      </c>
      <c r="J360" s="23">
        <v>10000</v>
      </c>
      <c r="K360" s="23">
        <v>4</v>
      </c>
      <c r="L360" s="23">
        <v>2</v>
      </c>
      <c r="M360" s="23" t="s">
        <v>160</v>
      </c>
      <c r="N360" s="23">
        <v>0</v>
      </c>
      <c r="P360" s="23">
        <v>0</v>
      </c>
      <c r="S360" s="26"/>
    </row>
    <row r="361" spans="1:19">
      <c r="A361" s="23" t="s">
        <v>106</v>
      </c>
      <c r="B361" s="23" t="s">
        <v>66</v>
      </c>
      <c r="C361" s="23" t="s">
        <v>22</v>
      </c>
      <c r="D361" s="23" t="s">
        <v>164</v>
      </c>
      <c r="E361" s="23">
        <v>2</v>
      </c>
      <c r="F361" s="23" t="s">
        <v>58</v>
      </c>
      <c r="G361" s="23" t="s">
        <v>154</v>
      </c>
      <c r="H361" s="23">
        <v>6</v>
      </c>
      <c r="I361" s="23">
        <v>23</v>
      </c>
      <c r="J361" s="23">
        <v>10000</v>
      </c>
      <c r="K361" s="23">
        <v>4</v>
      </c>
      <c r="L361" s="23">
        <v>2</v>
      </c>
      <c r="M361" s="23" t="s">
        <v>160</v>
      </c>
      <c r="N361" s="23">
        <v>1</v>
      </c>
      <c r="O361" s="23" t="s">
        <v>193</v>
      </c>
      <c r="P361" s="23">
        <v>1</v>
      </c>
      <c r="Q361" s="23" t="s">
        <v>193</v>
      </c>
      <c r="R361" s="23">
        <v>1</v>
      </c>
      <c r="S361" s="26">
        <v>3.3178115359185791</v>
      </c>
    </row>
    <row r="362" spans="1:19">
      <c r="A362" s="23" t="s">
        <v>28</v>
      </c>
      <c r="B362" s="23" t="s">
        <v>66</v>
      </c>
      <c r="C362" s="23" t="s">
        <v>22</v>
      </c>
      <c r="D362" s="23" t="s">
        <v>174</v>
      </c>
      <c r="E362" s="23">
        <v>1</v>
      </c>
      <c r="F362" s="23" t="s">
        <v>50</v>
      </c>
      <c r="G362" s="23" t="s">
        <v>147</v>
      </c>
      <c r="H362" s="23">
        <v>1</v>
      </c>
      <c r="I362" s="23">
        <v>40</v>
      </c>
      <c r="J362" s="23">
        <v>5000</v>
      </c>
      <c r="K362" s="23">
        <v>15</v>
      </c>
      <c r="L362" s="23">
        <v>1</v>
      </c>
      <c r="M362" s="23" t="s">
        <v>160</v>
      </c>
      <c r="N362" s="23">
        <v>0</v>
      </c>
      <c r="P362" s="23">
        <v>0</v>
      </c>
      <c r="S362" s="23"/>
    </row>
    <row r="363" spans="1:19">
      <c r="A363" s="23" t="s">
        <v>28</v>
      </c>
      <c r="B363" s="23" t="s">
        <v>66</v>
      </c>
      <c r="C363" s="23" t="s">
        <v>22</v>
      </c>
      <c r="D363" s="23" t="s">
        <v>165</v>
      </c>
      <c r="E363" s="23">
        <v>1</v>
      </c>
      <c r="F363" s="23" t="s">
        <v>50</v>
      </c>
      <c r="G363" s="23" t="s">
        <v>148</v>
      </c>
      <c r="H363" s="23">
        <v>2</v>
      </c>
      <c r="I363" s="23">
        <v>40</v>
      </c>
      <c r="J363" s="23">
        <v>5000</v>
      </c>
      <c r="K363" s="23">
        <v>15</v>
      </c>
      <c r="L363" s="23">
        <v>1</v>
      </c>
      <c r="M363" s="23" t="s">
        <v>161</v>
      </c>
      <c r="N363" s="23">
        <v>0</v>
      </c>
      <c r="P363" s="23">
        <v>0</v>
      </c>
      <c r="S363" s="23"/>
    </row>
    <row r="364" spans="1:19">
      <c r="A364" s="23" t="s">
        <v>105</v>
      </c>
      <c r="B364" s="23" t="s">
        <v>66</v>
      </c>
      <c r="C364" s="23" t="s">
        <v>22</v>
      </c>
      <c r="D364" s="23" t="s">
        <v>165</v>
      </c>
      <c r="E364" s="23">
        <v>1</v>
      </c>
      <c r="F364" s="23" t="s">
        <v>50</v>
      </c>
      <c r="G364" s="23" t="s">
        <v>149</v>
      </c>
      <c r="H364" s="23">
        <v>3</v>
      </c>
      <c r="I364" s="23">
        <v>40</v>
      </c>
      <c r="J364" s="23">
        <v>5000</v>
      </c>
      <c r="K364" s="23">
        <v>15</v>
      </c>
      <c r="L364" s="23">
        <v>1</v>
      </c>
      <c r="M364" s="23" t="s">
        <v>160</v>
      </c>
      <c r="N364" s="23">
        <v>0</v>
      </c>
      <c r="P364" s="23">
        <v>0</v>
      </c>
      <c r="S364" s="23"/>
    </row>
    <row r="365" spans="1:19">
      <c r="A365" s="23" t="s">
        <v>105</v>
      </c>
      <c r="B365" s="23" t="s">
        <v>66</v>
      </c>
      <c r="C365" s="23" t="s">
        <v>22</v>
      </c>
      <c r="D365" s="23" t="s">
        <v>165</v>
      </c>
      <c r="E365" s="23">
        <v>1</v>
      </c>
      <c r="F365" s="23" t="s">
        <v>50</v>
      </c>
      <c r="G365" s="23" t="s">
        <v>150</v>
      </c>
      <c r="H365" s="23">
        <v>4</v>
      </c>
      <c r="I365" s="23">
        <v>40</v>
      </c>
      <c r="J365" s="23">
        <v>5000</v>
      </c>
      <c r="K365" s="23">
        <v>15</v>
      </c>
      <c r="L365" s="23">
        <v>1</v>
      </c>
      <c r="M365" s="23" t="s">
        <v>161</v>
      </c>
      <c r="N365" s="23">
        <v>0</v>
      </c>
      <c r="P365" s="23">
        <v>0</v>
      </c>
      <c r="S365" s="23"/>
    </row>
    <row r="366" spans="1:19">
      <c r="A366" s="23" t="s">
        <v>105</v>
      </c>
      <c r="B366" s="23" t="s">
        <v>66</v>
      </c>
      <c r="C366" s="23" t="s">
        <v>22</v>
      </c>
      <c r="D366" s="23" t="s">
        <v>165</v>
      </c>
      <c r="E366" s="23">
        <v>1</v>
      </c>
      <c r="F366" s="23" t="s">
        <v>50</v>
      </c>
      <c r="G366" s="23" t="s">
        <v>151</v>
      </c>
      <c r="H366" s="23">
        <v>5</v>
      </c>
      <c r="I366" s="23">
        <v>40</v>
      </c>
      <c r="J366" s="23">
        <v>5000</v>
      </c>
      <c r="K366" s="23">
        <v>15</v>
      </c>
      <c r="L366" s="23">
        <v>1</v>
      </c>
      <c r="M366" s="23" t="s">
        <v>161</v>
      </c>
      <c r="N366" s="23">
        <v>0</v>
      </c>
      <c r="P366" s="23">
        <v>0</v>
      </c>
      <c r="S366" s="23"/>
    </row>
    <row r="367" spans="1:19">
      <c r="A367" s="23" t="s">
        <v>105</v>
      </c>
      <c r="B367" s="23" t="s">
        <v>66</v>
      </c>
      <c r="C367" s="23" t="s">
        <v>22</v>
      </c>
      <c r="D367" s="23" t="s">
        <v>165</v>
      </c>
      <c r="E367" s="23">
        <v>1</v>
      </c>
      <c r="F367" s="23" t="s">
        <v>50</v>
      </c>
      <c r="G367" s="23" t="s">
        <v>152</v>
      </c>
      <c r="H367" s="23">
        <v>6</v>
      </c>
      <c r="I367" s="23">
        <v>40</v>
      </c>
      <c r="J367" s="23">
        <v>5000</v>
      </c>
      <c r="K367" s="23">
        <v>15</v>
      </c>
      <c r="L367" s="23">
        <v>1</v>
      </c>
      <c r="M367" s="23" t="s">
        <v>160</v>
      </c>
      <c r="N367" s="23">
        <v>1</v>
      </c>
      <c r="O367" s="23" t="s">
        <v>190</v>
      </c>
      <c r="P367" s="23">
        <v>1</v>
      </c>
      <c r="Q367" s="23" t="s">
        <v>190</v>
      </c>
      <c r="R367" s="23">
        <v>0</v>
      </c>
      <c r="S367" s="23">
        <v>4.901658717440827</v>
      </c>
    </row>
    <row r="368" spans="1:19">
      <c r="A368" s="23" t="s">
        <v>105</v>
      </c>
      <c r="B368" s="23" t="s">
        <v>66</v>
      </c>
      <c r="C368" s="23" t="s">
        <v>14</v>
      </c>
      <c r="D368" s="23" t="s">
        <v>165</v>
      </c>
      <c r="E368" s="23">
        <v>3</v>
      </c>
      <c r="F368" s="23" t="s">
        <v>52</v>
      </c>
      <c r="G368" s="23" t="s">
        <v>153</v>
      </c>
      <c r="H368" s="23">
        <v>1</v>
      </c>
      <c r="I368" s="23">
        <v>40</v>
      </c>
      <c r="J368" s="23">
        <v>5000</v>
      </c>
      <c r="K368" s="23">
        <v>15</v>
      </c>
      <c r="L368" s="23">
        <v>3</v>
      </c>
      <c r="M368" s="23" t="s">
        <v>160</v>
      </c>
      <c r="N368" s="23">
        <v>0</v>
      </c>
      <c r="P368" s="23">
        <v>0</v>
      </c>
      <c r="S368" s="23"/>
    </row>
    <row r="369" spans="1:19">
      <c r="A369" s="23" t="s">
        <v>105</v>
      </c>
      <c r="B369" s="23" t="s">
        <v>66</v>
      </c>
      <c r="C369" s="23" t="s">
        <v>14</v>
      </c>
      <c r="D369" s="23" t="s">
        <v>165</v>
      </c>
      <c r="E369" s="23">
        <v>3</v>
      </c>
      <c r="F369" s="23" t="s">
        <v>52</v>
      </c>
      <c r="G369" s="23" t="s">
        <v>154</v>
      </c>
      <c r="H369" s="23">
        <v>2</v>
      </c>
      <c r="I369" s="23">
        <v>40</v>
      </c>
      <c r="J369" s="23">
        <v>5000</v>
      </c>
      <c r="K369" s="23">
        <v>15</v>
      </c>
      <c r="L369" s="23">
        <v>3</v>
      </c>
      <c r="M369" s="23" t="s">
        <v>161</v>
      </c>
      <c r="N369" s="23">
        <v>0</v>
      </c>
      <c r="P369" s="23">
        <v>0</v>
      </c>
      <c r="S369" s="23"/>
    </row>
    <row r="370" spans="1:19">
      <c r="A370" s="23" t="s">
        <v>105</v>
      </c>
      <c r="B370" s="23" t="s">
        <v>66</v>
      </c>
      <c r="C370" s="23" t="s">
        <v>14</v>
      </c>
      <c r="D370" s="23" t="s">
        <v>165</v>
      </c>
      <c r="E370" s="23">
        <v>3</v>
      </c>
      <c r="F370" s="23" t="s">
        <v>51</v>
      </c>
      <c r="G370" s="23" t="s">
        <v>155</v>
      </c>
      <c r="H370" s="23">
        <v>3</v>
      </c>
      <c r="I370" s="23">
        <v>40</v>
      </c>
      <c r="J370" s="23">
        <v>5000</v>
      </c>
      <c r="K370" s="23">
        <v>15</v>
      </c>
      <c r="L370" s="23">
        <v>3</v>
      </c>
      <c r="M370" s="23" t="s">
        <v>161</v>
      </c>
      <c r="N370" s="23">
        <v>0</v>
      </c>
      <c r="P370" s="23">
        <v>0</v>
      </c>
      <c r="S370" s="23"/>
    </row>
    <row r="371" spans="1:19">
      <c r="A371" s="23" t="s">
        <v>105</v>
      </c>
      <c r="B371" s="23" t="s">
        <v>66</v>
      </c>
      <c r="C371" s="23" t="s">
        <v>14</v>
      </c>
      <c r="D371" s="23" t="s">
        <v>165</v>
      </c>
      <c r="E371" s="23">
        <v>3</v>
      </c>
      <c r="F371" s="23" t="s">
        <v>51</v>
      </c>
      <c r="G371" s="23" t="s">
        <v>156</v>
      </c>
      <c r="H371" s="23">
        <v>4</v>
      </c>
      <c r="I371" s="23">
        <v>40</v>
      </c>
      <c r="J371" s="23">
        <v>5000</v>
      </c>
      <c r="K371" s="23">
        <v>15</v>
      </c>
      <c r="L371" s="23">
        <v>3</v>
      </c>
      <c r="M371" s="23" t="s">
        <v>160</v>
      </c>
      <c r="N371" s="23">
        <v>0</v>
      </c>
      <c r="P371" s="23">
        <v>0</v>
      </c>
      <c r="S371" s="23"/>
    </row>
    <row r="372" spans="1:19">
      <c r="A372" s="23" t="s">
        <v>105</v>
      </c>
      <c r="B372" s="23" t="s">
        <v>66</v>
      </c>
      <c r="C372" s="23" t="s">
        <v>14</v>
      </c>
      <c r="D372" s="23" t="s">
        <v>165</v>
      </c>
      <c r="E372" s="23">
        <v>3</v>
      </c>
      <c r="F372" s="23" t="s">
        <v>51</v>
      </c>
      <c r="G372" s="23" t="s">
        <v>157</v>
      </c>
      <c r="H372" s="23">
        <v>5</v>
      </c>
      <c r="I372" s="23">
        <v>40</v>
      </c>
      <c r="J372" s="23">
        <v>5000</v>
      </c>
      <c r="K372" s="23">
        <v>15</v>
      </c>
      <c r="L372" s="23">
        <v>3</v>
      </c>
      <c r="M372" s="23" t="s">
        <v>161</v>
      </c>
      <c r="N372" s="23">
        <v>0</v>
      </c>
      <c r="P372" s="23">
        <v>0</v>
      </c>
      <c r="S372" s="26"/>
    </row>
    <row r="373" spans="1:19">
      <c r="A373" s="23" t="s">
        <v>105</v>
      </c>
      <c r="B373" s="23" t="s">
        <v>66</v>
      </c>
      <c r="C373" s="23" t="s">
        <v>14</v>
      </c>
      <c r="D373" s="23" t="s">
        <v>165</v>
      </c>
      <c r="E373" s="23">
        <v>3</v>
      </c>
      <c r="F373" s="23" t="s">
        <v>51</v>
      </c>
      <c r="G373" s="23" t="s">
        <v>158</v>
      </c>
      <c r="H373" s="23">
        <v>6</v>
      </c>
      <c r="I373" s="23">
        <v>40</v>
      </c>
      <c r="J373" s="23">
        <v>5000</v>
      </c>
      <c r="K373" s="23">
        <v>15</v>
      </c>
      <c r="L373" s="23">
        <v>3</v>
      </c>
      <c r="M373" s="23" t="s">
        <v>160</v>
      </c>
      <c r="N373" s="23">
        <v>1</v>
      </c>
      <c r="O373" s="23" t="s">
        <v>190</v>
      </c>
      <c r="P373" s="23">
        <v>1</v>
      </c>
      <c r="R373" s="23">
        <v>0</v>
      </c>
      <c r="S373" s="26">
        <v>4.6955644817791322</v>
      </c>
    </row>
    <row r="374" spans="1:19">
      <c r="A374" s="23" t="s">
        <v>105</v>
      </c>
      <c r="B374" s="23" t="s">
        <v>66</v>
      </c>
      <c r="C374" s="23" t="s">
        <v>21</v>
      </c>
      <c r="D374" s="23" t="s">
        <v>165</v>
      </c>
      <c r="E374" s="23">
        <v>2</v>
      </c>
      <c r="F374" s="23" t="s">
        <v>58</v>
      </c>
      <c r="G374" s="23" t="s">
        <v>156</v>
      </c>
      <c r="H374" s="23">
        <v>1</v>
      </c>
      <c r="I374" s="23">
        <v>40</v>
      </c>
      <c r="J374" s="23">
        <v>5000</v>
      </c>
      <c r="K374" s="23">
        <v>15</v>
      </c>
      <c r="L374" s="23">
        <v>2</v>
      </c>
      <c r="M374" s="23" t="s">
        <v>161</v>
      </c>
      <c r="N374" s="23">
        <v>0</v>
      </c>
      <c r="P374" s="23">
        <v>0</v>
      </c>
      <c r="S374" s="23"/>
    </row>
    <row r="375" spans="1:19">
      <c r="A375" s="23" t="s">
        <v>105</v>
      </c>
      <c r="B375" s="23" t="s">
        <v>66</v>
      </c>
      <c r="C375" s="23" t="s">
        <v>21</v>
      </c>
      <c r="D375" s="23" t="s">
        <v>165</v>
      </c>
      <c r="E375" s="23">
        <v>2</v>
      </c>
      <c r="F375" s="23" t="s">
        <v>58</v>
      </c>
      <c r="G375" s="23" t="s">
        <v>157</v>
      </c>
      <c r="H375" s="23">
        <v>2</v>
      </c>
      <c r="I375" s="23">
        <v>40</v>
      </c>
      <c r="J375" s="23">
        <v>5000</v>
      </c>
      <c r="K375" s="23">
        <v>15</v>
      </c>
      <c r="L375" s="23">
        <v>2</v>
      </c>
      <c r="M375" s="23" t="s">
        <v>160</v>
      </c>
      <c r="N375" s="23">
        <v>0</v>
      </c>
      <c r="P375" s="23">
        <v>0</v>
      </c>
      <c r="S375" s="23"/>
    </row>
    <row r="376" spans="1:19">
      <c r="A376" s="23" t="s">
        <v>105</v>
      </c>
      <c r="B376" s="23" t="s">
        <v>66</v>
      </c>
      <c r="C376" s="23" t="s">
        <v>21</v>
      </c>
      <c r="D376" s="23" t="s">
        <v>165</v>
      </c>
      <c r="E376" s="23">
        <v>2</v>
      </c>
      <c r="F376" s="23" t="s">
        <v>58</v>
      </c>
      <c r="G376" s="23" t="s">
        <v>153</v>
      </c>
      <c r="H376" s="23">
        <v>3</v>
      </c>
      <c r="I376" s="23">
        <v>40</v>
      </c>
      <c r="J376" s="23">
        <v>5000</v>
      </c>
      <c r="K376" s="23">
        <v>15</v>
      </c>
      <c r="L376" s="23">
        <v>2</v>
      </c>
      <c r="M376" s="23" t="s">
        <v>161</v>
      </c>
      <c r="N376" s="23">
        <v>0</v>
      </c>
      <c r="P376" s="23">
        <v>0</v>
      </c>
      <c r="S376" s="23"/>
    </row>
    <row r="377" spans="1:19">
      <c r="A377" s="23" t="s">
        <v>105</v>
      </c>
      <c r="B377" s="23" t="s">
        <v>66</v>
      </c>
      <c r="C377" s="23" t="s">
        <v>21</v>
      </c>
      <c r="D377" s="23" t="s">
        <v>165</v>
      </c>
      <c r="E377" s="23">
        <v>2</v>
      </c>
      <c r="F377" s="23" t="s">
        <v>58</v>
      </c>
      <c r="G377" s="23" t="s">
        <v>158</v>
      </c>
      <c r="H377" s="23">
        <v>4</v>
      </c>
      <c r="I377" s="23">
        <v>40</v>
      </c>
      <c r="J377" s="23">
        <v>5000</v>
      </c>
      <c r="K377" s="23">
        <v>15</v>
      </c>
      <c r="L377" s="23">
        <v>2</v>
      </c>
      <c r="M377" s="23" t="s">
        <v>161</v>
      </c>
      <c r="N377" s="23">
        <v>0</v>
      </c>
      <c r="P377" s="23">
        <v>0</v>
      </c>
      <c r="S377" s="23"/>
    </row>
    <row r="378" spans="1:19">
      <c r="A378" s="23" t="s">
        <v>105</v>
      </c>
      <c r="B378" s="23" t="s">
        <v>66</v>
      </c>
      <c r="C378" s="23" t="s">
        <v>21</v>
      </c>
      <c r="D378" s="23" t="s">
        <v>165</v>
      </c>
      <c r="E378" s="23">
        <v>2</v>
      </c>
      <c r="F378" s="23" t="s">
        <v>58</v>
      </c>
      <c r="G378" s="23" t="s">
        <v>155</v>
      </c>
      <c r="H378" s="23">
        <v>5</v>
      </c>
      <c r="I378" s="23">
        <v>40</v>
      </c>
      <c r="J378" s="23">
        <v>5000</v>
      </c>
      <c r="K378" s="23">
        <v>15</v>
      </c>
      <c r="L378" s="23">
        <v>2</v>
      </c>
      <c r="M378" s="23" t="s">
        <v>160</v>
      </c>
      <c r="N378" s="23">
        <v>0</v>
      </c>
      <c r="P378" s="23">
        <v>0</v>
      </c>
      <c r="S378" s="26"/>
    </row>
    <row r="379" spans="1:19">
      <c r="A379" s="23" t="s">
        <v>105</v>
      </c>
      <c r="B379" s="23" t="s">
        <v>66</v>
      </c>
      <c r="C379" s="23" t="s">
        <v>21</v>
      </c>
      <c r="D379" s="23" t="s">
        <v>165</v>
      </c>
      <c r="E379" s="23">
        <v>2</v>
      </c>
      <c r="F379" s="23" t="s">
        <v>58</v>
      </c>
      <c r="G379" s="23" t="s">
        <v>154</v>
      </c>
      <c r="H379" s="23">
        <v>6</v>
      </c>
      <c r="I379" s="23">
        <v>40</v>
      </c>
      <c r="J379" s="23">
        <v>5000</v>
      </c>
      <c r="K379" s="23">
        <v>15</v>
      </c>
      <c r="L379" s="23">
        <v>2</v>
      </c>
      <c r="M379" s="23" t="s">
        <v>160</v>
      </c>
      <c r="N379" s="23">
        <v>1</v>
      </c>
      <c r="O379" s="23" t="s">
        <v>190</v>
      </c>
      <c r="P379" s="23">
        <v>1</v>
      </c>
      <c r="Q379" s="23" t="s">
        <v>190</v>
      </c>
      <c r="R379" s="23">
        <v>1</v>
      </c>
      <c r="S379" s="26">
        <v>2.2683278002965208</v>
      </c>
    </row>
    <row r="380" spans="1:19">
      <c r="A380" s="23" t="s">
        <v>33</v>
      </c>
      <c r="B380" s="23" t="s">
        <v>65</v>
      </c>
      <c r="C380" s="23" t="s">
        <v>21</v>
      </c>
      <c r="D380" s="23" t="s">
        <v>181</v>
      </c>
      <c r="E380" s="23">
        <v>1</v>
      </c>
      <c r="F380" s="23" t="s">
        <v>50</v>
      </c>
      <c r="G380" s="23" t="s">
        <v>147</v>
      </c>
      <c r="H380" s="23">
        <v>1</v>
      </c>
      <c r="I380" s="23">
        <v>44</v>
      </c>
      <c r="J380" s="23">
        <v>10000</v>
      </c>
      <c r="K380" s="23">
        <v>21</v>
      </c>
      <c r="L380" s="23">
        <v>1</v>
      </c>
      <c r="M380" s="23" t="s">
        <v>160</v>
      </c>
      <c r="N380" s="23">
        <v>0</v>
      </c>
      <c r="P380" s="23">
        <v>0</v>
      </c>
      <c r="S380" s="23"/>
    </row>
    <row r="381" spans="1:19">
      <c r="A381" s="23" t="s">
        <v>33</v>
      </c>
      <c r="B381" s="23" t="s">
        <v>65</v>
      </c>
      <c r="C381" s="23" t="s">
        <v>21</v>
      </c>
      <c r="D381" s="23" t="s">
        <v>181</v>
      </c>
      <c r="E381" s="23">
        <v>1</v>
      </c>
      <c r="F381" s="23" t="s">
        <v>50</v>
      </c>
      <c r="G381" s="23" t="s">
        <v>148</v>
      </c>
      <c r="H381" s="23">
        <v>2</v>
      </c>
      <c r="I381" s="23">
        <v>44</v>
      </c>
      <c r="J381" s="23">
        <v>10000</v>
      </c>
      <c r="K381" s="23">
        <v>21</v>
      </c>
      <c r="L381" s="23">
        <v>1</v>
      </c>
      <c r="M381" s="23" t="s">
        <v>161</v>
      </c>
      <c r="N381" s="23">
        <v>0</v>
      </c>
      <c r="P381" s="23">
        <v>0</v>
      </c>
      <c r="S381" s="23"/>
    </row>
    <row r="382" spans="1:19">
      <c r="A382" s="23" t="s">
        <v>33</v>
      </c>
      <c r="B382" s="23" t="s">
        <v>65</v>
      </c>
      <c r="C382" s="23" t="s">
        <v>21</v>
      </c>
      <c r="D382" s="23" t="s">
        <v>180</v>
      </c>
      <c r="E382" s="23">
        <v>1</v>
      </c>
      <c r="F382" s="23" t="s">
        <v>50</v>
      </c>
      <c r="G382" s="23" t="s">
        <v>149</v>
      </c>
      <c r="H382" s="23">
        <v>3</v>
      </c>
      <c r="I382" s="23">
        <v>44</v>
      </c>
      <c r="J382" s="23">
        <v>10000</v>
      </c>
      <c r="K382" s="23">
        <v>21</v>
      </c>
      <c r="L382" s="23">
        <v>1</v>
      </c>
      <c r="M382" s="23" t="s">
        <v>160</v>
      </c>
      <c r="N382" s="23">
        <v>0</v>
      </c>
      <c r="P382" s="23">
        <v>0</v>
      </c>
      <c r="S382" s="23"/>
    </row>
    <row r="383" spans="1:19">
      <c r="A383" s="23" t="s">
        <v>118</v>
      </c>
      <c r="B383" s="23" t="s">
        <v>65</v>
      </c>
      <c r="C383" s="23" t="s">
        <v>21</v>
      </c>
      <c r="D383" s="23" t="s">
        <v>180</v>
      </c>
      <c r="E383" s="23">
        <v>1</v>
      </c>
      <c r="F383" s="23" t="s">
        <v>50</v>
      </c>
      <c r="G383" s="23" t="s">
        <v>150</v>
      </c>
      <c r="H383" s="23">
        <v>4</v>
      </c>
      <c r="I383" s="23">
        <v>44</v>
      </c>
      <c r="J383" s="23">
        <v>10000</v>
      </c>
      <c r="K383" s="23">
        <v>21</v>
      </c>
      <c r="L383" s="23">
        <v>1</v>
      </c>
      <c r="M383" s="23" t="s">
        <v>161</v>
      </c>
      <c r="N383" s="23">
        <v>0</v>
      </c>
      <c r="P383" s="23">
        <v>0</v>
      </c>
      <c r="S383" s="23"/>
    </row>
    <row r="384" spans="1:19">
      <c r="A384" s="23" t="s">
        <v>118</v>
      </c>
      <c r="B384" s="23" t="s">
        <v>65</v>
      </c>
      <c r="C384" s="23" t="s">
        <v>21</v>
      </c>
      <c r="D384" s="23" t="s">
        <v>180</v>
      </c>
      <c r="E384" s="23">
        <v>1</v>
      </c>
      <c r="F384" s="23" t="s">
        <v>50</v>
      </c>
      <c r="G384" s="23" t="s">
        <v>151</v>
      </c>
      <c r="H384" s="23">
        <v>5</v>
      </c>
      <c r="I384" s="23">
        <v>44</v>
      </c>
      <c r="J384" s="23">
        <v>10000</v>
      </c>
      <c r="K384" s="23">
        <v>21</v>
      </c>
      <c r="L384" s="23">
        <v>1</v>
      </c>
      <c r="M384" s="23" t="s">
        <v>161</v>
      </c>
      <c r="N384" s="23">
        <v>0</v>
      </c>
      <c r="P384" s="23">
        <v>0</v>
      </c>
      <c r="S384" s="23"/>
    </row>
    <row r="385" spans="1:19">
      <c r="A385" s="23" t="s">
        <v>33</v>
      </c>
      <c r="B385" s="23" t="s">
        <v>65</v>
      </c>
      <c r="C385" s="23" t="s">
        <v>21</v>
      </c>
      <c r="D385" s="23" t="s">
        <v>180</v>
      </c>
      <c r="E385" s="23">
        <v>1</v>
      </c>
      <c r="F385" s="23" t="s">
        <v>50</v>
      </c>
      <c r="G385" s="23" t="s">
        <v>152</v>
      </c>
      <c r="H385" s="23">
        <v>6</v>
      </c>
      <c r="I385" s="23">
        <v>44</v>
      </c>
      <c r="J385" s="23">
        <v>10000</v>
      </c>
      <c r="K385" s="23">
        <v>21</v>
      </c>
      <c r="L385" s="23">
        <v>1</v>
      </c>
      <c r="M385" s="23" t="s">
        <v>160</v>
      </c>
      <c r="N385" s="23">
        <v>0</v>
      </c>
      <c r="P385" s="23">
        <v>0</v>
      </c>
      <c r="R385" s="23">
        <v>1</v>
      </c>
      <c r="S385" s="23"/>
    </row>
    <row r="386" spans="1:19">
      <c r="A386" s="23" t="s">
        <v>118</v>
      </c>
      <c r="B386" s="23" t="s">
        <v>65</v>
      </c>
      <c r="C386" s="23" t="s">
        <v>14</v>
      </c>
      <c r="D386" s="23" t="s">
        <v>180</v>
      </c>
      <c r="E386" s="23">
        <v>2</v>
      </c>
      <c r="F386" s="23" t="s">
        <v>52</v>
      </c>
      <c r="G386" s="23" t="s">
        <v>153</v>
      </c>
      <c r="H386" s="23">
        <v>1</v>
      </c>
      <c r="I386" s="23">
        <v>44</v>
      </c>
      <c r="J386" s="23">
        <v>10000</v>
      </c>
      <c r="K386" s="23">
        <v>21</v>
      </c>
      <c r="L386" s="23">
        <v>2</v>
      </c>
      <c r="M386" s="23" t="s">
        <v>160</v>
      </c>
      <c r="N386" s="23">
        <v>0</v>
      </c>
      <c r="P386" s="23">
        <v>0</v>
      </c>
      <c r="S386" s="23"/>
    </row>
    <row r="387" spans="1:19">
      <c r="A387" s="23" t="s">
        <v>118</v>
      </c>
      <c r="B387" s="23" t="s">
        <v>65</v>
      </c>
      <c r="C387" s="23" t="s">
        <v>14</v>
      </c>
      <c r="D387" s="23" t="s">
        <v>180</v>
      </c>
      <c r="E387" s="23">
        <v>2</v>
      </c>
      <c r="F387" s="23" t="s">
        <v>52</v>
      </c>
      <c r="G387" s="23" t="s">
        <v>154</v>
      </c>
      <c r="H387" s="23">
        <v>2</v>
      </c>
      <c r="I387" s="23">
        <v>44</v>
      </c>
      <c r="J387" s="23">
        <v>10000</v>
      </c>
      <c r="K387" s="23">
        <v>21</v>
      </c>
      <c r="L387" s="23">
        <v>2</v>
      </c>
      <c r="M387" s="23" t="s">
        <v>161</v>
      </c>
      <c r="N387" s="23">
        <v>0</v>
      </c>
      <c r="P387" s="23">
        <v>0</v>
      </c>
      <c r="S387" s="23"/>
    </row>
    <row r="388" spans="1:19">
      <c r="A388" s="23" t="s">
        <v>118</v>
      </c>
      <c r="B388" s="23" t="s">
        <v>65</v>
      </c>
      <c r="C388" s="23" t="s">
        <v>14</v>
      </c>
      <c r="D388" s="23" t="s">
        <v>180</v>
      </c>
      <c r="E388" s="23">
        <v>2</v>
      </c>
      <c r="F388" s="23" t="s">
        <v>51</v>
      </c>
      <c r="G388" s="23" t="s">
        <v>155</v>
      </c>
      <c r="H388" s="23">
        <v>3</v>
      </c>
      <c r="I388" s="23">
        <v>44</v>
      </c>
      <c r="J388" s="23">
        <v>10000</v>
      </c>
      <c r="K388" s="23">
        <v>21</v>
      </c>
      <c r="L388" s="23">
        <v>2</v>
      </c>
      <c r="M388" s="23" t="s">
        <v>161</v>
      </c>
      <c r="N388" s="23">
        <v>0</v>
      </c>
      <c r="P388" s="23">
        <v>0</v>
      </c>
      <c r="S388" s="23"/>
    </row>
    <row r="389" spans="1:19">
      <c r="A389" s="23" t="s">
        <v>118</v>
      </c>
      <c r="B389" s="23" t="s">
        <v>65</v>
      </c>
      <c r="C389" s="23" t="s">
        <v>14</v>
      </c>
      <c r="D389" s="23" t="s">
        <v>180</v>
      </c>
      <c r="E389" s="23">
        <v>2</v>
      </c>
      <c r="F389" s="23" t="s">
        <v>51</v>
      </c>
      <c r="G389" s="23" t="s">
        <v>156</v>
      </c>
      <c r="H389" s="23">
        <v>4</v>
      </c>
      <c r="I389" s="23">
        <v>44</v>
      </c>
      <c r="J389" s="23">
        <v>10000</v>
      </c>
      <c r="K389" s="23">
        <v>21</v>
      </c>
      <c r="L389" s="23">
        <v>2</v>
      </c>
      <c r="M389" s="23" t="s">
        <v>160</v>
      </c>
      <c r="N389" s="23">
        <v>0</v>
      </c>
      <c r="P389" s="23">
        <v>0</v>
      </c>
      <c r="S389" s="23"/>
    </row>
    <row r="390" spans="1:19">
      <c r="A390" s="23" t="s">
        <v>118</v>
      </c>
      <c r="B390" s="23" t="s">
        <v>65</v>
      </c>
      <c r="C390" s="23" t="s">
        <v>14</v>
      </c>
      <c r="D390" s="23" t="s">
        <v>180</v>
      </c>
      <c r="E390" s="23">
        <v>2</v>
      </c>
      <c r="F390" s="23" t="s">
        <v>51</v>
      </c>
      <c r="G390" s="23" t="s">
        <v>157</v>
      </c>
      <c r="H390" s="23">
        <v>5</v>
      </c>
      <c r="I390" s="23">
        <v>44</v>
      </c>
      <c r="J390" s="23">
        <v>10000</v>
      </c>
      <c r="K390" s="23">
        <v>21</v>
      </c>
      <c r="L390" s="23">
        <v>2</v>
      </c>
      <c r="M390" s="23" t="s">
        <v>161</v>
      </c>
      <c r="N390" s="23">
        <v>0</v>
      </c>
      <c r="P390" s="23">
        <v>0</v>
      </c>
      <c r="S390" s="26"/>
    </row>
    <row r="391" spans="1:19">
      <c r="A391" s="23" t="s">
        <v>118</v>
      </c>
      <c r="B391" s="23" t="s">
        <v>65</v>
      </c>
      <c r="C391" s="23" t="s">
        <v>14</v>
      </c>
      <c r="D391" s="23" t="s">
        <v>180</v>
      </c>
      <c r="E391" s="23">
        <v>2</v>
      </c>
      <c r="F391" s="23" t="s">
        <v>51</v>
      </c>
      <c r="G391" s="23" t="s">
        <v>158</v>
      </c>
      <c r="H391" s="23">
        <v>6</v>
      </c>
      <c r="I391" s="23">
        <v>44</v>
      </c>
      <c r="J391" s="23">
        <v>10000</v>
      </c>
      <c r="K391" s="23">
        <v>21</v>
      </c>
      <c r="L391" s="23">
        <v>2</v>
      </c>
      <c r="M391" s="23" t="s">
        <v>160</v>
      </c>
      <c r="N391" s="23">
        <v>1</v>
      </c>
      <c r="O391" s="23" t="s">
        <v>190</v>
      </c>
      <c r="P391" s="23">
        <v>1</v>
      </c>
      <c r="R391" s="23">
        <v>0</v>
      </c>
      <c r="S391" s="26">
        <v>2.7161852009753287</v>
      </c>
    </row>
    <row r="392" spans="1:19">
      <c r="A392" s="23" t="s">
        <v>118</v>
      </c>
      <c r="B392" s="23" t="s">
        <v>65</v>
      </c>
      <c r="C392" s="23" t="s">
        <v>22</v>
      </c>
      <c r="D392" s="23" t="s">
        <v>180</v>
      </c>
      <c r="E392" s="23">
        <v>3</v>
      </c>
      <c r="F392" s="23" t="s">
        <v>58</v>
      </c>
      <c r="G392" s="23" t="s">
        <v>156</v>
      </c>
      <c r="H392" s="23">
        <v>1</v>
      </c>
      <c r="I392" s="23">
        <v>44</v>
      </c>
      <c r="J392" s="23">
        <v>10000</v>
      </c>
      <c r="K392" s="23">
        <v>21</v>
      </c>
      <c r="L392" s="23">
        <v>3</v>
      </c>
      <c r="M392" s="23" t="s">
        <v>161</v>
      </c>
      <c r="N392" s="23">
        <v>0</v>
      </c>
      <c r="P392" s="23">
        <v>0</v>
      </c>
      <c r="S392" s="23"/>
    </row>
    <row r="393" spans="1:19">
      <c r="A393" s="23" t="s">
        <v>118</v>
      </c>
      <c r="B393" s="23" t="s">
        <v>65</v>
      </c>
      <c r="C393" s="23" t="s">
        <v>22</v>
      </c>
      <c r="D393" s="23" t="s">
        <v>180</v>
      </c>
      <c r="E393" s="23">
        <v>3</v>
      </c>
      <c r="F393" s="23" t="s">
        <v>58</v>
      </c>
      <c r="G393" s="23" t="s">
        <v>157</v>
      </c>
      <c r="H393" s="23">
        <v>2</v>
      </c>
      <c r="I393" s="23">
        <v>44</v>
      </c>
      <c r="J393" s="23">
        <v>10000</v>
      </c>
      <c r="K393" s="23">
        <v>21</v>
      </c>
      <c r="L393" s="23">
        <v>3</v>
      </c>
      <c r="M393" s="23" t="s">
        <v>160</v>
      </c>
      <c r="N393" s="23">
        <v>0</v>
      </c>
      <c r="P393" s="23">
        <v>0</v>
      </c>
      <c r="S393" s="23"/>
    </row>
    <row r="394" spans="1:19">
      <c r="A394" s="23" t="s">
        <v>118</v>
      </c>
      <c r="B394" s="23" t="s">
        <v>65</v>
      </c>
      <c r="C394" s="23" t="s">
        <v>22</v>
      </c>
      <c r="D394" s="23" t="s">
        <v>180</v>
      </c>
      <c r="E394" s="23">
        <v>3</v>
      </c>
      <c r="F394" s="23" t="s">
        <v>58</v>
      </c>
      <c r="G394" s="23" t="s">
        <v>153</v>
      </c>
      <c r="H394" s="23">
        <v>3</v>
      </c>
      <c r="I394" s="23">
        <v>44</v>
      </c>
      <c r="J394" s="23">
        <v>10000</v>
      </c>
      <c r="K394" s="23">
        <v>21</v>
      </c>
      <c r="L394" s="23">
        <v>3</v>
      </c>
      <c r="M394" s="23" t="s">
        <v>161</v>
      </c>
      <c r="N394" s="23">
        <v>0</v>
      </c>
      <c r="P394" s="23">
        <v>0</v>
      </c>
      <c r="S394" s="23"/>
    </row>
    <row r="395" spans="1:19">
      <c r="A395" s="23" t="s">
        <v>118</v>
      </c>
      <c r="B395" s="23" t="s">
        <v>65</v>
      </c>
      <c r="C395" s="23" t="s">
        <v>22</v>
      </c>
      <c r="D395" s="23" t="s">
        <v>180</v>
      </c>
      <c r="E395" s="23">
        <v>3</v>
      </c>
      <c r="F395" s="23" t="s">
        <v>58</v>
      </c>
      <c r="G395" s="23" t="s">
        <v>158</v>
      </c>
      <c r="H395" s="23">
        <v>4</v>
      </c>
      <c r="I395" s="23">
        <v>44</v>
      </c>
      <c r="J395" s="23">
        <v>10000</v>
      </c>
      <c r="K395" s="23">
        <v>21</v>
      </c>
      <c r="L395" s="23">
        <v>3</v>
      </c>
      <c r="M395" s="23" t="s">
        <v>161</v>
      </c>
      <c r="N395" s="23">
        <v>0</v>
      </c>
      <c r="P395" s="23">
        <v>0</v>
      </c>
      <c r="S395" s="23"/>
    </row>
    <row r="396" spans="1:19">
      <c r="A396" s="23" t="s">
        <v>118</v>
      </c>
      <c r="B396" s="23" t="s">
        <v>65</v>
      </c>
      <c r="C396" s="23" t="s">
        <v>22</v>
      </c>
      <c r="D396" s="23" t="s">
        <v>180</v>
      </c>
      <c r="E396" s="23">
        <v>3</v>
      </c>
      <c r="F396" s="23" t="s">
        <v>58</v>
      </c>
      <c r="G396" s="23" t="s">
        <v>155</v>
      </c>
      <c r="H396" s="23">
        <v>5</v>
      </c>
      <c r="I396" s="23">
        <v>44</v>
      </c>
      <c r="J396" s="23">
        <v>10000</v>
      </c>
      <c r="K396" s="23">
        <v>21</v>
      </c>
      <c r="L396" s="23">
        <v>3</v>
      </c>
      <c r="M396" s="23" t="s">
        <v>160</v>
      </c>
      <c r="N396" s="23">
        <v>0</v>
      </c>
      <c r="P396" s="23">
        <v>0</v>
      </c>
      <c r="S396" s="26"/>
    </row>
    <row r="397" spans="1:19">
      <c r="A397" s="23" t="s">
        <v>118</v>
      </c>
      <c r="B397" s="23" t="s">
        <v>65</v>
      </c>
      <c r="C397" s="23" t="s">
        <v>22</v>
      </c>
      <c r="D397" s="23" t="s">
        <v>180</v>
      </c>
      <c r="E397" s="23">
        <v>3</v>
      </c>
      <c r="F397" s="23" t="s">
        <v>58</v>
      </c>
      <c r="G397" s="23" t="s">
        <v>154</v>
      </c>
      <c r="H397" s="23">
        <v>6</v>
      </c>
      <c r="I397" s="23">
        <v>44</v>
      </c>
      <c r="J397" s="23">
        <v>10000</v>
      </c>
      <c r="K397" s="23">
        <v>21</v>
      </c>
      <c r="L397" s="23">
        <v>3</v>
      </c>
      <c r="M397" s="23" t="s">
        <v>160</v>
      </c>
      <c r="N397" s="23">
        <v>0</v>
      </c>
      <c r="P397" s="23">
        <v>0</v>
      </c>
      <c r="R397" s="23">
        <v>1</v>
      </c>
      <c r="S397" s="26"/>
    </row>
    <row r="398" spans="1:19">
      <c r="A398" s="23" t="s">
        <v>35</v>
      </c>
      <c r="B398" s="23" t="s">
        <v>65</v>
      </c>
      <c r="C398" s="23" t="s">
        <v>14</v>
      </c>
      <c r="D398" s="23" t="s">
        <v>171</v>
      </c>
      <c r="E398" s="23">
        <v>1</v>
      </c>
      <c r="F398" s="23" t="s">
        <v>50</v>
      </c>
      <c r="G398" s="23" t="s">
        <v>147</v>
      </c>
      <c r="H398" s="23">
        <v>1</v>
      </c>
      <c r="I398" s="23">
        <v>48</v>
      </c>
      <c r="J398" s="23">
        <v>6000</v>
      </c>
      <c r="K398" s="23">
        <v>10</v>
      </c>
      <c r="L398" s="23">
        <v>1</v>
      </c>
      <c r="M398" s="23" t="s">
        <v>160</v>
      </c>
      <c r="N398" s="23">
        <v>0</v>
      </c>
      <c r="P398" s="23">
        <v>0</v>
      </c>
      <c r="S398" s="23"/>
    </row>
    <row r="399" spans="1:19">
      <c r="A399" s="23" t="s">
        <v>35</v>
      </c>
      <c r="B399" s="23" t="s">
        <v>65</v>
      </c>
      <c r="C399" s="23" t="s">
        <v>14</v>
      </c>
      <c r="D399" s="23" t="s">
        <v>171</v>
      </c>
      <c r="E399" s="23">
        <v>1</v>
      </c>
      <c r="F399" s="23" t="s">
        <v>50</v>
      </c>
      <c r="G399" s="23" t="s">
        <v>148</v>
      </c>
      <c r="H399" s="23">
        <v>2</v>
      </c>
      <c r="I399" s="23">
        <v>48</v>
      </c>
      <c r="J399" s="23">
        <v>6000</v>
      </c>
      <c r="K399" s="23">
        <v>10</v>
      </c>
      <c r="L399" s="23">
        <v>1</v>
      </c>
      <c r="M399" s="23" t="s">
        <v>161</v>
      </c>
      <c r="N399" s="23">
        <v>0</v>
      </c>
      <c r="P399" s="23">
        <v>0</v>
      </c>
      <c r="S399" s="23"/>
    </row>
    <row r="400" spans="1:19">
      <c r="A400" s="23" t="s">
        <v>110</v>
      </c>
      <c r="B400" s="23" t="s">
        <v>65</v>
      </c>
      <c r="C400" s="23" t="s">
        <v>14</v>
      </c>
      <c r="D400" s="23" t="s">
        <v>168</v>
      </c>
      <c r="E400" s="23">
        <v>1</v>
      </c>
      <c r="F400" s="23" t="s">
        <v>50</v>
      </c>
      <c r="G400" s="23" t="s">
        <v>149</v>
      </c>
      <c r="H400" s="23">
        <v>3</v>
      </c>
      <c r="I400" s="23">
        <v>48</v>
      </c>
      <c r="J400" s="23">
        <v>6000</v>
      </c>
      <c r="K400" s="23">
        <v>10</v>
      </c>
      <c r="L400" s="23">
        <v>1</v>
      </c>
      <c r="M400" s="23" t="s">
        <v>160</v>
      </c>
      <c r="N400" s="23">
        <v>0</v>
      </c>
      <c r="P400" s="23">
        <v>0</v>
      </c>
      <c r="S400" s="23"/>
    </row>
    <row r="401" spans="1:19">
      <c r="A401" s="23" t="s">
        <v>110</v>
      </c>
      <c r="B401" s="23" t="s">
        <v>65</v>
      </c>
      <c r="C401" s="23" t="s">
        <v>14</v>
      </c>
      <c r="D401" s="23" t="s">
        <v>168</v>
      </c>
      <c r="E401" s="23">
        <v>1</v>
      </c>
      <c r="F401" s="23" t="s">
        <v>50</v>
      </c>
      <c r="G401" s="23" t="s">
        <v>150</v>
      </c>
      <c r="H401" s="23">
        <v>4</v>
      </c>
      <c r="I401" s="23">
        <v>48</v>
      </c>
      <c r="J401" s="23">
        <v>6000</v>
      </c>
      <c r="K401" s="23">
        <v>10</v>
      </c>
      <c r="L401" s="23">
        <v>1</v>
      </c>
      <c r="M401" s="23" t="s">
        <v>161</v>
      </c>
      <c r="N401" s="23">
        <v>0</v>
      </c>
      <c r="P401" s="23">
        <v>0</v>
      </c>
      <c r="S401" s="23"/>
    </row>
    <row r="402" spans="1:19">
      <c r="A402" s="23" t="s">
        <v>110</v>
      </c>
      <c r="B402" s="23" t="s">
        <v>65</v>
      </c>
      <c r="C402" s="23" t="s">
        <v>14</v>
      </c>
      <c r="D402" s="23" t="s">
        <v>168</v>
      </c>
      <c r="E402" s="23">
        <v>1</v>
      </c>
      <c r="F402" s="23" t="s">
        <v>50</v>
      </c>
      <c r="G402" s="23" t="s">
        <v>151</v>
      </c>
      <c r="H402" s="23">
        <v>5</v>
      </c>
      <c r="I402" s="23">
        <v>48</v>
      </c>
      <c r="J402" s="23">
        <v>6000</v>
      </c>
      <c r="K402" s="23">
        <v>10</v>
      </c>
      <c r="L402" s="23">
        <v>1</v>
      </c>
      <c r="M402" s="23" t="s">
        <v>161</v>
      </c>
      <c r="N402" s="23">
        <v>0</v>
      </c>
      <c r="P402" s="23">
        <v>0</v>
      </c>
      <c r="S402" s="23"/>
    </row>
    <row r="403" spans="1:19">
      <c r="A403" s="23" t="s">
        <v>110</v>
      </c>
      <c r="B403" s="23" t="s">
        <v>65</v>
      </c>
      <c r="C403" s="23" t="s">
        <v>14</v>
      </c>
      <c r="D403" s="23" t="s">
        <v>168</v>
      </c>
      <c r="E403" s="23">
        <v>1</v>
      </c>
      <c r="F403" s="23" t="s">
        <v>50</v>
      </c>
      <c r="G403" s="23" t="s">
        <v>152</v>
      </c>
      <c r="H403" s="23">
        <v>6</v>
      </c>
      <c r="I403" s="23">
        <v>48</v>
      </c>
      <c r="J403" s="23">
        <v>6000</v>
      </c>
      <c r="K403" s="23">
        <v>10</v>
      </c>
      <c r="L403" s="23">
        <v>1</v>
      </c>
      <c r="M403" s="23" t="s">
        <v>160</v>
      </c>
      <c r="N403" s="23">
        <v>1</v>
      </c>
      <c r="O403" s="23" t="s">
        <v>190</v>
      </c>
      <c r="P403" s="23">
        <v>1</v>
      </c>
      <c r="R403" s="23">
        <v>0</v>
      </c>
      <c r="S403" s="23">
        <v>3.9993898210972838</v>
      </c>
    </row>
    <row r="404" spans="1:19">
      <c r="A404" s="23" t="s">
        <v>110</v>
      </c>
      <c r="B404" s="23" t="s">
        <v>65</v>
      </c>
      <c r="C404" s="23" t="s">
        <v>22</v>
      </c>
      <c r="D404" s="23" t="s">
        <v>168</v>
      </c>
      <c r="E404" s="23">
        <v>3</v>
      </c>
      <c r="F404" s="23" t="s">
        <v>52</v>
      </c>
      <c r="G404" s="23" t="s">
        <v>153</v>
      </c>
      <c r="H404" s="23">
        <v>1</v>
      </c>
      <c r="I404" s="23">
        <v>48</v>
      </c>
      <c r="J404" s="23">
        <v>6000</v>
      </c>
      <c r="K404" s="23">
        <v>10</v>
      </c>
      <c r="L404" s="23">
        <v>3</v>
      </c>
      <c r="M404" s="23" t="s">
        <v>160</v>
      </c>
      <c r="N404" s="23">
        <v>1</v>
      </c>
      <c r="O404" s="23" t="s">
        <v>193</v>
      </c>
      <c r="P404" s="23">
        <v>1</v>
      </c>
      <c r="Q404" s="23" t="s">
        <v>193</v>
      </c>
      <c r="S404" s="23"/>
    </row>
    <row r="405" spans="1:19">
      <c r="A405" s="23" t="s">
        <v>110</v>
      </c>
      <c r="B405" s="23" t="s">
        <v>65</v>
      </c>
      <c r="C405" s="23" t="s">
        <v>22</v>
      </c>
      <c r="D405" s="23" t="s">
        <v>168</v>
      </c>
      <c r="E405" s="23">
        <v>3</v>
      </c>
      <c r="F405" s="23" t="s">
        <v>52</v>
      </c>
      <c r="G405" s="23" t="s">
        <v>154</v>
      </c>
      <c r="H405" s="23">
        <v>2</v>
      </c>
      <c r="I405" s="23">
        <v>48</v>
      </c>
      <c r="J405" s="23">
        <v>6000</v>
      </c>
      <c r="K405" s="23">
        <v>10</v>
      </c>
      <c r="L405" s="23">
        <v>3</v>
      </c>
      <c r="M405" s="23" t="s">
        <v>161</v>
      </c>
      <c r="N405" s="23">
        <v>0</v>
      </c>
      <c r="P405" s="23">
        <v>0</v>
      </c>
      <c r="S405" s="23"/>
    </row>
    <row r="406" spans="1:19">
      <c r="A406" s="23" t="s">
        <v>110</v>
      </c>
      <c r="B406" s="23" t="s">
        <v>65</v>
      </c>
      <c r="C406" s="23" t="s">
        <v>22</v>
      </c>
      <c r="D406" s="23" t="s">
        <v>168</v>
      </c>
      <c r="E406" s="23">
        <v>3</v>
      </c>
      <c r="F406" s="23" t="s">
        <v>51</v>
      </c>
      <c r="G406" s="23" t="s">
        <v>155</v>
      </c>
      <c r="H406" s="23">
        <v>3</v>
      </c>
      <c r="I406" s="23">
        <v>48</v>
      </c>
      <c r="J406" s="23">
        <v>6000</v>
      </c>
      <c r="K406" s="23">
        <v>10</v>
      </c>
      <c r="L406" s="23">
        <v>3</v>
      </c>
      <c r="M406" s="23" t="s">
        <v>161</v>
      </c>
      <c r="N406" s="23">
        <v>0</v>
      </c>
      <c r="P406" s="23">
        <v>0</v>
      </c>
      <c r="S406" s="23"/>
    </row>
    <row r="407" spans="1:19">
      <c r="A407" s="23" t="s">
        <v>110</v>
      </c>
      <c r="B407" s="23" t="s">
        <v>65</v>
      </c>
      <c r="C407" s="23" t="s">
        <v>22</v>
      </c>
      <c r="D407" s="23" t="s">
        <v>168</v>
      </c>
      <c r="E407" s="23">
        <v>3</v>
      </c>
      <c r="F407" s="23" t="s">
        <v>51</v>
      </c>
      <c r="G407" s="23" t="s">
        <v>156</v>
      </c>
      <c r="H407" s="23">
        <v>4</v>
      </c>
      <c r="I407" s="23">
        <v>48</v>
      </c>
      <c r="J407" s="23">
        <v>6000</v>
      </c>
      <c r="K407" s="23">
        <v>10</v>
      </c>
      <c r="L407" s="23">
        <v>3</v>
      </c>
      <c r="M407" s="23" t="s">
        <v>160</v>
      </c>
      <c r="N407" s="23">
        <v>0</v>
      </c>
      <c r="P407" s="23">
        <v>0</v>
      </c>
      <c r="S407" s="23"/>
    </row>
    <row r="408" spans="1:19">
      <c r="A408" s="23" t="s">
        <v>110</v>
      </c>
      <c r="B408" s="23" t="s">
        <v>65</v>
      </c>
      <c r="C408" s="23" t="s">
        <v>22</v>
      </c>
      <c r="D408" s="23" t="s">
        <v>168</v>
      </c>
      <c r="E408" s="23">
        <v>3</v>
      </c>
      <c r="F408" s="23" t="s">
        <v>51</v>
      </c>
      <c r="G408" s="23" t="s">
        <v>157</v>
      </c>
      <c r="H408" s="23">
        <v>5</v>
      </c>
      <c r="I408" s="23">
        <v>48</v>
      </c>
      <c r="J408" s="23">
        <v>6000</v>
      </c>
      <c r="K408" s="23">
        <v>10</v>
      </c>
      <c r="L408" s="23">
        <v>3</v>
      </c>
      <c r="M408" s="23" t="s">
        <v>161</v>
      </c>
      <c r="N408" s="23">
        <v>0</v>
      </c>
      <c r="P408" s="23">
        <v>0</v>
      </c>
      <c r="S408" s="26"/>
    </row>
    <row r="409" spans="1:19">
      <c r="A409" s="23" t="s">
        <v>110</v>
      </c>
      <c r="B409" s="23" t="s">
        <v>65</v>
      </c>
      <c r="C409" s="23" t="s">
        <v>22</v>
      </c>
      <c r="D409" s="23" t="s">
        <v>168</v>
      </c>
      <c r="E409" s="23">
        <v>3</v>
      </c>
      <c r="F409" s="23" t="s">
        <v>51</v>
      </c>
      <c r="G409" s="23" t="s">
        <v>158</v>
      </c>
      <c r="H409" s="23">
        <v>6</v>
      </c>
      <c r="I409" s="23">
        <v>48</v>
      </c>
      <c r="J409" s="23">
        <v>6000</v>
      </c>
      <c r="K409" s="23">
        <v>10</v>
      </c>
      <c r="L409" s="23">
        <v>3</v>
      </c>
      <c r="M409" s="23" t="s">
        <v>160</v>
      </c>
      <c r="N409" s="23">
        <v>1</v>
      </c>
      <c r="O409" s="23" t="s">
        <v>190</v>
      </c>
      <c r="P409" s="23">
        <v>1</v>
      </c>
      <c r="Q409" s="23" t="s">
        <v>190</v>
      </c>
      <c r="R409" s="23">
        <v>0</v>
      </c>
      <c r="S409" s="26">
        <v>5.4091684869386256</v>
      </c>
    </row>
    <row r="410" spans="1:19">
      <c r="A410" s="23" t="s">
        <v>110</v>
      </c>
      <c r="B410" s="23" t="s">
        <v>65</v>
      </c>
      <c r="C410" s="23" t="s">
        <v>21</v>
      </c>
      <c r="D410" s="23" t="s">
        <v>168</v>
      </c>
      <c r="E410" s="23">
        <v>2</v>
      </c>
      <c r="F410" s="23" t="s">
        <v>58</v>
      </c>
      <c r="G410" s="23" t="s">
        <v>156</v>
      </c>
      <c r="H410" s="23">
        <v>1</v>
      </c>
      <c r="I410" s="23">
        <v>48</v>
      </c>
      <c r="J410" s="23">
        <v>6000</v>
      </c>
      <c r="K410" s="23">
        <v>10</v>
      </c>
      <c r="L410" s="23">
        <v>2</v>
      </c>
      <c r="M410" s="23" t="s">
        <v>161</v>
      </c>
      <c r="N410" s="23">
        <v>1</v>
      </c>
      <c r="O410" s="23" t="s">
        <v>193</v>
      </c>
      <c r="P410" s="23">
        <v>1</v>
      </c>
      <c r="Q410" s="23" t="s">
        <v>193</v>
      </c>
      <c r="S410" s="23"/>
    </row>
    <row r="411" spans="1:19">
      <c r="A411" s="23" t="s">
        <v>110</v>
      </c>
      <c r="B411" s="23" t="s">
        <v>65</v>
      </c>
      <c r="C411" s="23" t="s">
        <v>21</v>
      </c>
      <c r="D411" s="23" t="s">
        <v>168</v>
      </c>
      <c r="E411" s="23">
        <v>2</v>
      </c>
      <c r="F411" s="23" t="s">
        <v>58</v>
      </c>
      <c r="G411" s="23" t="s">
        <v>157</v>
      </c>
      <c r="H411" s="23">
        <v>2</v>
      </c>
      <c r="I411" s="23">
        <v>48</v>
      </c>
      <c r="J411" s="23">
        <v>6000</v>
      </c>
      <c r="K411" s="23">
        <v>10</v>
      </c>
      <c r="L411" s="23">
        <v>2</v>
      </c>
      <c r="M411" s="23" t="s">
        <v>160</v>
      </c>
      <c r="N411" s="23">
        <v>1</v>
      </c>
      <c r="O411" s="23" t="s">
        <v>193</v>
      </c>
      <c r="P411" s="23">
        <v>1</v>
      </c>
      <c r="Q411" s="23" t="s">
        <v>193</v>
      </c>
      <c r="S411" s="23"/>
    </row>
    <row r="412" spans="1:19">
      <c r="A412" s="23" t="s">
        <v>110</v>
      </c>
      <c r="B412" s="23" t="s">
        <v>65</v>
      </c>
      <c r="C412" s="23" t="s">
        <v>21</v>
      </c>
      <c r="D412" s="23" t="s">
        <v>168</v>
      </c>
      <c r="E412" s="23">
        <v>2</v>
      </c>
      <c r="F412" s="23" t="s">
        <v>58</v>
      </c>
      <c r="G412" s="23" t="s">
        <v>153</v>
      </c>
      <c r="H412" s="23">
        <v>3</v>
      </c>
      <c r="I412" s="23">
        <v>48</v>
      </c>
      <c r="J412" s="23">
        <v>6000</v>
      </c>
      <c r="K412" s="23">
        <v>10</v>
      </c>
      <c r="L412" s="23">
        <v>2</v>
      </c>
      <c r="M412" s="23" t="s">
        <v>161</v>
      </c>
      <c r="N412" s="23">
        <v>0</v>
      </c>
      <c r="P412" s="23">
        <v>0</v>
      </c>
      <c r="S412" s="23"/>
    </row>
    <row r="413" spans="1:19">
      <c r="A413" s="23" t="s">
        <v>110</v>
      </c>
      <c r="B413" s="23" t="s">
        <v>65</v>
      </c>
      <c r="C413" s="23" t="s">
        <v>21</v>
      </c>
      <c r="D413" s="23" t="s">
        <v>168</v>
      </c>
      <c r="E413" s="23">
        <v>2</v>
      </c>
      <c r="F413" s="23" t="s">
        <v>58</v>
      </c>
      <c r="G413" s="23" t="s">
        <v>158</v>
      </c>
      <c r="H413" s="23">
        <v>4</v>
      </c>
      <c r="I413" s="23">
        <v>48</v>
      </c>
      <c r="J413" s="23">
        <v>6000</v>
      </c>
      <c r="K413" s="23">
        <v>10</v>
      </c>
      <c r="L413" s="23">
        <v>2</v>
      </c>
      <c r="M413" s="23" t="s">
        <v>161</v>
      </c>
      <c r="N413" s="23">
        <v>0</v>
      </c>
      <c r="P413" s="23">
        <v>0</v>
      </c>
      <c r="S413" s="23"/>
    </row>
    <row r="414" spans="1:19">
      <c r="A414" s="23" t="s">
        <v>110</v>
      </c>
      <c r="B414" s="23" t="s">
        <v>65</v>
      </c>
      <c r="C414" s="23" t="s">
        <v>21</v>
      </c>
      <c r="D414" s="23" t="s">
        <v>168</v>
      </c>
      <c r="E414" s="23">
        <v>2</v>
      </c>
      <c r="F414" s="23" t="s">
        <v>58</v>
      </c>
      <c r="G414" s="23" t="s">
        <v>155</v>
      </c>
      <c r="H414" s="23">
        <v>5</v>
      </c>
      <c r="I414" s="23">
        <v>48</v>
      </c>
      <c r="J414" s="23">
        <v>6000</v>
      </c>
      <c r="K414" s="23">
        <v>10</v>
      </c>
      <c r="L414" s="23">
        <v>2</v>
      </c>
      <c r="M414" s="23" t="s">
        <v>160</v>
      </c>
      <c r="N414" s="23">
        <v>1</v>
      </c>
      <c r="O414" s="23" t="s">
        <v>193</v>
      </c>
      <c r="P414" s="23">
        <v>1</v>
      </c>
      <c r="Q414" s="23" t="s">
        <v>193</v>
      </c>
      <c r="S414" s="26"/>
    </row>
    <row r="415" spans="1:19">
      <c r="A415" s="23" t="s">
        <v>110</v>
      </c>
      <c r="B415" s="23" t="s">
        <v>65</v>
      </c>
      <c r="C415" s="23" t="s">
        <v>21</v>
      </c>
      <c r="D415" s="23" t="s">
        <v>168</v>
      </c>
      <c r="E415" s="23">
        <v>2</v>
      </c>
      <c r="F415" s="23" t="s">
        <v>58</v>
      </c>
      <c r="G415" s="23" t="s">
        <v>154</v>
      </c>
      <c r="H415" s="23">
        <v>6</v>
      </c>
      <c r="I415" s="23">
        <v>48</v>
      </c>
      <c r="J415" s="23">
        <v>6000</v>
      </c>
      <c r="K415" s="23">
        <v>10</v>
      </c>
      <c r="L415" s="23">
        <v>2</v>
      </c>
      <c r="M415" s="23" t="s">
        <v>160</v>
      </c>
      <c r="N415" s="23">
        <v>1</v>
      </c>
      <c r="O415" s="23" t="s">
        <v>193</v>
      </c>
      <c r="P415" s="23">
        <v>1</v>
      </c>
      <c r="Q415" s="23" t="s">
        <v>193</v>
      </c>
      <c r="R415" s="23">
        <v>0</v>
      </c>
      <c r="S415" s="26">
        <v>8.5251870663659481</v>
      </c>
    </row>
    <row r="416" spans="1:19">
      <c r="A416" s="23" t="s">
        <v>38</v>
      </c>
      <c r="B416" s="23" t="s">
        <v>65</v>
      </c>
      <c r="C416" s="23" t="s">
        <v>21</v>
      </c>
      <c r="D416" s="23" t="s">
        <v>170</v>
      </c>
      <c r="E416" s="23">
        <v>1</v>
      </c>
      <c r="F416" s="23" t="s">
        <v>50</v>
      </c>
      <c r="G416" s="23" t="s">
        <v>147</v>
      </c>
      <c r="H416" s="23">
        <v>1</v>
      </c>
      <c r="I416" s="23">
        <v>38</v>
      </c>
      <c r="J416" s="23">
        <v>20000</v>
      </c>
      <c r="K416" s="23">
        <v>13</v>
      </c>
      <c r="L416" s="23">
        <v>1</v>
      </c>
      <c r="M416" s="23" t="s">
        <v>160</v>
      </c>
      <c r="N416" s="23">
        <v>0</v>
      </c>
      <c r="P416" s="23">
        <v>0</v>
      </c>
      <c r="S416" s="23"/>
    </row>
    <row r="417" spans="1:19">
      <c r="A417" s="23" t="s">
        <v>38</v>
      </c>
      <c r="B417" s="23" t="s">
        <v>65</v>
      </c>
      <c r="C417" s="23" t="s">
        <v>21</v>
      </c>
      <c r="D417" s="23" t="s">
        <v>170</v>
      </c>
      <c r="E417" s="23">
        <v>1</v>
      </c>
      <c r="F417" s="23" t="s">
        <v>50</v>
      </c>
      <c r="G417" s="23" t="s">
        <v>148</v>
      </c>
      <c r="H417" s="23">
        <v>2</v>
      </c>
      <c r="I417" s="23">
        <v>38</v>
      </c>
      <c r="J417" s="23">
        <v>20000</v>
      </c>
      <c r="K417" s="23">
        <v>13</v>
      </c>
      <c r="L417" s="23">
        <v>1</v>
      </c>
      <c r="M417" s="23" t="s">
        <v>161</v>
      </c>
      <c r="N417" s="23">
        <v>0</v>
      </c>
      <c r="P417" s="23">
        <v>0</v>
      </c>
      <c r="S417" s="23"/>
    </row>
    <row r="418" spans="1:19">
      <c r="A418" s="23" t="s">
        <v>120</v>
      </c>
      <c r="B418" s="23" t="s">
        <v>65</v>
      </c>
      <c r="C418" s="23" t="s">
        <v>21</v>
      </c>
      <c r="D418" s="23" t="s">
        <v>167</v>
      </c>
      <c r="E418" s="23">
        <v>1</v>
      </c>
      <c r="F418" s="23" t="s">
        <v>50</v>
      </c>
      <c r="G418" s="23" t="s">
        <v>149</v>
      </c>
      <c r="H418" s="23">
        <v>3</v>
      </c>
      <c r="I418" s="23">
        <v>38</v>
      </c>
      <c r="J418" s="23">
        <v>20000</v>
      </c>
      <c r="K418" s="23">
        <v>13</v>
      </c>
      <c r="L418" s="23">
        <v>1</v>
      </c>
      <c r="M418" s="23" t="s">
        <v>160</v>
      </c>
      <c r="N418" s="23">
        <v>0</v>
      </c>
      <c r="P418" s="23">
        <v>0</v>
      </c>
      <c r="S418" s="23"/>
    </row>
    <row r="419" spans="1:19">
      <c r="A419" s="23" t="s">
        <v>120</v>
      </c>
      <c r="B419" s="23" t="s">
        <v>65</v>
      </c>
      <c r="C419" s="23" t="s">
        <v>21</v>
      </c>
      <c r="D419" s="23" t="s">
        <v>167</v>
      </c>
      <c r="E419" s="23">
        <v>1</v>
      </c>
      <c r="F419" s="23" t="s">
        <v>50</v>
      </c>
      <c r="G419" s="23" t="s">
        <v>150</v>
      </c>
      <c r="H419" s="23">
        <v>4</v>
      </c>
      <c r="I419" s="23">
        <v>38</v>
      </c>
      <c r="J419" s="23">
        <v>20000</v>
      </c>
      <c r="K419" s="23">
        <v>13</v>
      </c>
      <c r="L419" s="23">
        <v>1</v>
      </c>
      <c r="M419" s="23" t="s">
        <v>161</v>
      </c>
      <c r="N419" s="23">
        <v>0</v>
      </c>
      <c r="P419" s="23">
        <v>0</v>
      </c>
      <c r="S419" s="23"/>
    </row>
    <row r="420" spans="1:19">
      <c r="A420" s="23" t="s">
        <v>120</v>
      </c>
      <c r="B420" s="23" t="s">
        <v>65</v>
      </c>
      <c r="C420" s="23" t="s">
        <v>21</v>
      </c>
      <c r="D420" s="23" t="s">
        <v>167</v>
      </c>
      <c r="E420" s="23">
        <v>1</v>
      </c>
      <c r="F420" s="23" t="s">
        <v>50</v>
      </c>
      <c r="G420" s="23" t="s">
        <v>151</v>
      </c>
      <c r="H420" s="23">
        <v>5</v>
      </c>
      <c r="I420" s="23">
        <v>38</v>
      </c>
      <c r="J420" s="23">
        <v>20000</v>
      </c>
      <c r="K420" s="23">
        <v>13</v>
      </c>
      <c r="L420" s="23">
        <v>1</v>
      </c>
      <c r="M420" s="23" t="s">
        <v>161</v>
      </c>
      <c r="N420" s="23">
        <v>0</v>
      </c>
      <c r="P420" s="23">
        <v>0</v>
      </c>
      <c r="S420" s="23"/>
    </row>
    <row r="421" spans="1:19">
      <c r="A421" s="23" t="s">
        <v>120</v>
      </c>
      <c r="B421" s="23" t="s">
        <v>65</v>
      </c>
      <c r="C421" s="23" t="s">
        <v>21</v>
      </c>
      <c r="D421" s="23" t="s">
        <v>167</v>
      </c>
      <c r="E421" s="23">
        <v>1</v>
      </c>
      <c r="F421" s="23" t="s">
        <v>50</v>
      </c>
      <c r="G421" s="23" t="s">
        <v>152</v>
      </c>
      <c r="H421" s="23">
        <v>6</v>
      </c>
      <c r="I421" s="23">
        <v>38</v>
      </c>
      <c r="J421" s="23">
        <v>20000</v>
      </c>
      <c r="K421" s="23">
        <v>13</v>
      </c>
      <c r="L421" s="23">
        <v>1</v>
      </c>
      <c r="M421" s="23" t="s">
        <v>160</v>
      </c>
      <c r="N421" s="23">
        <v>0</v>
      </c>
      <c r="P421" s="23">
        <v>0</v>
      </c>
      <c r="R421" s="23">
        <v>1</v>
      </c>
      <c r="S421" s="23"/>
    </row>
    <row r="422" spans="1:19">
      <c r="A422" s="23" t="s">
        <v>120</v>
      </c>
      <c r="B422" s="23" t="s">
        <v>65</v>
      </c>
      <c r="C422" s="23" t="s">
        <v>14</v>
      </c>
      <c r="D422" s="23" t="s">
        <v>167</v>
      </c>
      <c r="E422" s="23">
        <v>3</v>
      </c>
      <c r="F422" s="23" t="s">
        <v>52</v>
      </c>
      <c r="G422" s="23" t="s">
        <v>153</v>
      </c>
      <c r="H422" s="23">
        <v>1</v>
      </c>
      <c r="I422" s="23">
        <v>38</v>
      </c>
      <c r="J422" s="23">
        <v>20000</v>
      </c>
      <c r="K422" s="23">
        <v>13</v>
      </c>
      <c r="L422" s="23">
        <v>3</v>
      </c>
      <c r="M422" s="23" t="s">
        <v>160</v>
      </c>
      <c r="N422" s="23">
        <v>1</v>
      </c>
      <c r="O422" s="23" t="s">
        <v>190</v>
      </c>
      <c r="P422" s="23">
        <v>1</v>
      </c>
      <c r="S422" s="23"/>
    </row>
    <row r="423" spans="1:19">
      <c r="A423" s="23" t="s">
        <v>120</v>
      </c>
      <c r="B423" s="23" t="s">
        <v>65</v>
      </c>
      <c r="C423" s="23" t="s">
        <v>14</v>
      </c>
      <c r="D423" s="23" t="s">
        <v>167</v>
      </c>
      <c r="E423" s="23">
        <v>3</v>
      </c>
      <c r="F423" s="23" t="s">
        <v>52</v>
      </c>
      <c r="G423" s="23" t="s">
        <v>154</v>
      </c>
      <c r="H423" s="23">
        <v>2</v>
      </c>
      <c r="I423" s="23">
        <v>38</v>
      </c>
      <c r="J423" s="23">
        <v>20000</v>
      </c>
      <c r="K423" s="23">
        <v>13</v>
      </c>
      <c r="L423" s="23">
        <v>3</v>
      </c>
      <c r="M423" s="23" t="s">
        <v>161</v>
      </c>
      <c r="N423" s="23">
        <v>0</v>
      </c>
      <c r="P423" s="23">
        <v>0</v>
      </c>
      <c r="S423" s="23"/>
    </row>
    <row r="424" spans="1:19">
      <c r="A424" s="23" t="s">
        <v>120</v>
      </c>
      <c r="B424" s="23" t="s">
        <v>65</v>
      </c>
      <c r="C424" s="23" t="s">
        <v>14</v>
      </c>
      <c r="D424" s="23" t="s">
        <v>167</v>
      </c>
      <c r="E424" s="23">
        <v>3</v>
      </c>
      <c r="F424" s="23" t="s">
        <v>51</v>
      </c>
      <c r="G424" s="23" t="s">
        <v>155</v>
      </c>
      <c r="H424" s="23">
        <v>3</v>
      </c>
      <c r="I424" s="23">
        <v>38</v>
      </c>
      <c r="J424" s="23">
        <v>20000</v>
      </c>
      <c r="K424" s="23">
        <v>13</v>
      </c>
      <c r="L424" s="23">
        <v>3</v>
      </c>
      <c r="M424" s="23" t="s">
        <v>161</v>
      </c>
      <c r="N424" s="23">
        <v>0</v>
      </c>
      <c r="P424" s="23">
        <v>0</v>
      </c>
      <c r="S424" s="23"/>
    </row>
    <row r="425" spans="1:19">
      <c r="A425" s="23" t="s">
        <v>120</v>
      </c>
      <c r="B425" s="23" t="s">
        <v>65</v>
      </c>
      <c r="C425" s="23" t="s">
        <v>14</v>
      </c>
      <c r="D425" s="23" t="s">
        <v>167</v>
      </c>
      <c r="E425" s="23">
        <v>3</v>
      </c>
      <c r="F425" s="23" t="s">
        <v>51</v>
      </c>
      <c r="G425" s="23" t="s">
        <v>156</v>
      </c>
      <c r="H425" s="23">
        <v>4</v>
      </c>
      <c r="I425" s="23">
        <v>38</v>
      </c>
      <c r="J425" s="23">
        <v>20000</v>
      </c>
      <c r="K425" s="23">
        <v>13</v>
      </c>
      <c r="L425" s="23">
        <v>3</v>
      </c>
      <c r="M425" s="23" t="s">
        <v>160</v>
      </c>
      <c r="N425" s="23">
        <v>0</v>
      </c>
      <c r="P425" s="23">
        <v>0</v>
      </c>
      <c r="S425" s="23"/>
    </row>
    <row r="426" spans="1:19">
      <c r="A426" s="23" t="s">
        <v>120</v>
      </c>
      <c r="B426" s="23" t="s">
        <v>65</v>
      </c>
      <c r="C426" s="23" t="s">
        <v>14</v>
      </c>
      <c r="D426" s="23" t="s">
        <v>167</v>
      </c>
      <c r="E426" s="23">
        <v>3</v>
      </c>
      <c r="F426" s="23" t="s">
        <v>51</v>
      </c>
      <c r="G426" s="23" t="s">
        <v>157</v>
      </c>
      <c r="H426" s="23">
        <v>5</v>
      </c>
      <c r="I426" s="23">
        <v>38</v>
      </c>
      <c r="J426" s="23">
        <v>20000</v>
      </c>
      <c r="K426" s="23">
        <v>13</v>
      </c>
      <c r="L426" s="23">
        <v>3</v>
      </c>
      <c r="M426" s="23" t="s">
        <v>161</v>
      </c>
      <c r="N426" s="23">
        <v>0</v>
      </c>
      <c r="P426" s="23">
        <v>0</v>
      </c>
      <c r="S426" s="26"/>
    </row>
    <row r="427" spans="1:19">
      <c r="A427" s="23" t="s">
        <v>120</v>
      </c>
      <c r="B427" s="23" t="s">
        <v>65</v>
      </c>
      <c r="C427" s="23" t="s">
        <v>14</v>
      </c>
      <c r="D427" s="23" t="s">
        <v>167</v>
      </c>
      <c r="E427" s="23">
        <v>3</v>
      </c>
      <c r="F427" s="23" t="s">
        <v>51</v>
      </c>
      <c r="G427" s="23" t="s">
        <v>158</v>
      </c>
      <c r="H427" s="23">
        <v>6</v>
      </c>
      <c r="I427" s="23">
        <v>38</v>
      </c>
      <c r="J427" s="23">
        <v>20000</v>
      </c>
      <c r="K427" s="23">
        <v>13</v>
      </c>
      <c r="L427" s="23">
        <v>3</v>
      </c>
      <c r="M427" s="23" t="s">
        <v>160</v>
      </c>
      <c r="N427" s="23">
        <v>1</v>
      </c>
      <c r="O427" s="23" t="s">
        <v>190</v>
      </c>
      <c r="P427" s="23">
        <v>1</v>
      </c>
      <c r="R427" s="23">
        <v>0</v>
      </c>
      <c r="S427" s="26">
        <v>14.07730568498884</v>
      </c>
    </row>
    <row r="428" spans="1:19">
      <c r="A428" s="23" t="s">
        <v>120</v>
      </c>
      <c r="B428" s="23" t="s">
        <v>65</v>
      </c>
      <c r="C428" s="23" t="s">
        <v>22</v>
      </c>
      <c r="D428" s="23" t="s">
        <v>167</v>
      </c>
      <c r="E428" s="23">
        <v>2</v>
      </c>
      <c r="F428" s="23" t="s">
        <v>58</v>
      </c>
      <c r="G428" s="23" t="s">
        <v>156</v>
      </c>
      <c r="H428" s="23">
        <v>1</v>
      </c>
      <c r="I428" s="23">
        <v>38</v>
      </c>
      <c r="J428" s="23">
        <v>20000</v>
      </c>
      <c r="K428" s="23">
        <v>13</v>
      </c>
      <c r="L428" s="23">
        <v>2</v>
      </c>
      <c r="M428" s="23" t="s">
        <v>161</v>
      </c>
      <c r="N428" s="23">
        <v>0</v>
      </c>
      <c r="P428" s="23">
        <v>0</v>
      </c>
      <c r="S428" s="23"/>
    </row>
    <row r="429" spans="1:19">
      <c r="A429" s="23" t="s">
        <v>120</v>
      </c>
      <c r="B429" s="23" t="s">
        <v>65</v>
      </c>
      <c r="C429" s="23" t="s">
        <v>22</v>
      </c>
      <c r="D429" s="23" t="s">
        <v>167</v>
      </c>
      <c r="E429" s="23">
        <v>2</v>
      </c>
      <c r="F429" s="23" t="s">
        <v>58</v>
      </c>
      <c r="G429" s="23" t="s">
        <v>157</v>
      </c>
      <c r="H429" s="23">
        <v>2</v>
      </c>
      <c r="I429" s="23">
        <v>38</v>
      </c>
      <c r="J429" s="23">
        <v>20000</v>
      </c>
      <c r="K429" s="23">
        <v>13</v>
      </c>
      <c r="L429" s="23">
        <v>2</v>
      </c>
      <c r="M429" s="23" t="s">
        <v>160</v>
      </c>
      <c r="N429" s="23">
        <v>1</v>
      </c>
      <c r="O429" s="23" t="s">
        <v>193</v>
      </c>
      <c r="P429" s="23">
        <v>1</v>
      </c>
      <c r="Q429" s="23" t="s">
        <v>190</v>
      </c>
      <c r="S429" s="23"/>
    </row>
    <row r="430" spans="1:19">
      <c r="A430" s="23" t="s">
        <v>120</v>
      </c>
      <c r="B430" s="23" t="s">
        <v>65</v>
      </c>
      <c r="C430" s="23" t="s">
        <v>22</v>
      </c>
      <c r="D430" s="23" t="s">
        <v>167</v>
      </c>
      <c r="E430" s="23">
        <v>2</v>
      </c>
      <c r="F430" s="23" t="s">
        <v>58</v>
      </c>
      <c r="G430" s="23" t="s">
        <v>153</v>
      </c>
      <c r="H430" s="23">
        <v>3</v>
      </c>
      <c r="I430" s="23">
        <v>38</v>
      </c>
      <c r="J430" s="23">
        <v>20000</v>
      </c>
      <c r="K430" s="23">
        <v>13</v>
      </c>
      <c r="L430" s="23">
        <v>2</v>
      </c>
      <c r="M430" s="23" t="s">
        <v>161</v>
      </c>
      <c r="N430" s="23">
        <v>0</v>
      </c>
      <c r="P430" s="23">
        <v>0</v>
      </c>
      <c r="S430" s="23"/>
    </row>
    <row r="431" spans="1:19">
      <c r="A431" s="23" t="s">
        <v>120</v>
      </c>
      <c r="B431" s="23" t="s">
        <v>65</v>
      </c>
      <c r="C431" s="23" t="s">
        <v>22</v>
      </c>
      <c r="D431" s="23" t="s">
        <v>167</v>
      </c>
      <c r="E431" s="23">
        <v>2</v>
      </c>
      <c r="F431" s="23" t="s">
        <v>58</v>
      </c>
      <c r="G431" s="23" t="s">
        <v>158</v>
      </c>
      <c r="H431" s="23">
        <v>4</v>
      </c>
      <c r="I431" s="23">
        <v>38</v>
      </c>
      <c r="J431" s="23">
        <v>20000</v>
      </c>
      <c r="K431" s="23">
        <v>13</v>
      </c>
      <c r="L431" s="23">
        <v>2</v>
      </c>
      <c r="M431" s="23" t="s">
        <v>161</v>
      </c>
      <c r="N431" s="23">
        <v>0</v>
      </c>
      <c r="P431" s="23">
        <v>0</v>
      </c>
      <c r="S431" s="23"/>
    </row>
    <row r="432" spans="1:19">
      <c r="A432" s="23" t="s">
        <v>120</v>
      </c>
      <c r="B432" s="23" t="s">
        <v>65</v>
      </c>
      <c r="C432" s="23" t="s">
        <v>22</v>
      </c>
      <c r="D432" s="23" t="s">
        <v>167</v>
      </c>
      <c r="E432" s="23">
        <v>2</v>
      </c>
      <c r="F432" s="23" t="s">
        <v>58</v>
      </c>
      <c r="G432" s="23" t="s">
        <v>155</v>
      </c>
      <c r="H432" s="23">
        <v>5</v>
      </c>
      <c r="I432" s="23">
        <v>38</v>
      </c>
      <c r="J432" s="23">
        <v>20000</v>
      </c>
      <c r="K432" s="23">
        <v>13</v>
      </c>
      <c r="L432" s="23">
        <v>2</v>
      </c>
      <c r="M432" s="23" t="s">
        <v>160</v>
      </c>
      <c r="N432" s="23">
        <v>0</v>
      </c>
      <c r="P432" s="23">
        <v>0</v>
      </c>
      <c r="S432" s="26"/>
    </row>
    <row r="433" spans="1:19">
      <c r="A433" s="23" t="s">
        <v>120</v>
      </c>
      <c r="B433" s="23" t="s">
        <v>65</v>
      </c>
      <c r="C433" s="23" t="s">
        <v>22</v>
      </c>
      <c r="D433" s="23" t="s">
        <v>167</v>
      </c>
      <c r="E433" s="23">
        <v>2</v>
      </c>
      <c r="F433" s="23" t="s">
        <v>58</v>
      </c>
      <c r="G433" s="23" t="s">
        <v>154</v>
      </c>
      <c r="H433" s="23">
        <v>6</v>
      </c>
      <c r="I433" s="23">
        <v>38</v>
      </c>
      <c r="J433" s="23">
        <v>20000</v>
      </c>
      <c r="K433" s="23">
        <v>13</v>
      </c>
      <c r="L433" s="23">
        <v>2</v>
      </c>
      <c r="M433" s="23" t="s">
        <v>160</v>
      </c>
      <c r="N433" s="23">
        <v>1</v>
      </c>
      <c r="O433" s="23" t="s">
        <v>190</v>
      </c>
      <c r="P433" s="23">
        <v>1</v>
      </c>
      <c r="Q433" s="23" t="s">
        <v>190</v>
      </c>
      <c r="R433" s="23">
        <v>0</v>
      </c>
      <c r="S433" s="26">
        <v>5.0118057518463788</v>
      </c>
    </row>
    <row r="434" spans="1:19">
      <c r="A434" s="23" t="s">
        <v>45</v>
      </c>
      <c r="B434" s="23" t="s">
        <v>65</v>
      </c>
      <c r="C434" s="23" t="s">
        <v>21</v>
      </c>
      <c r="D434" s="23" t="s">
        <v>183</v>
      </c>
      <c r="E434" s="23">
        <v>1</v>
      </c>
      <c r="F434" s="23" t="s">
        <v>50</v>
      </c>
      <c r="G434" s="23" t="s">
        <v>147</v>
      </c>
      <c r="H434" s="23">
        <v>1</v>
      </c>
      <c r="I434" s="23">
        <v>20</v>
      </c>
      <c r="J434" s="23">
        <v>6000</v>
      </c>
      <c r="K434" s="23">
        <v>3</v>
      </c>
      <c r="L434" s="23">
        <v>1</v>
      </c>
      <c r="M434" s="23" t="s">
        <v>160</v>
      </c>
      <c r="N434" s="23">
        <v>0</v>
      </c>
      <c r="P434" s="23">
        <v>0</v>
      </c>
      <c r="S434" s="23"/>
    </row>
    <row r="435" spans="1:19">
      <c r="A435" s="23" t="s">
        <v>45</v>
      </c>
      <c r="B435" s="23" t="s">
        <v>65</v>
      </c>
      <c r="C435" s="23" t="s">
        <v>21</v>
      </c>
      <c r="D435" s="23" t="s">
        <v>183</v>
      </c>
      <c r="E435" s="23">
        <v>1</v>
      </c>
      <c r="F435" s="23" t="s">
        <v>50</v>
      </c>
      <c r="G435" s="23" t="s">
        <v>148</v>
      </c>
      <c r="H435" s="23">
        <v>2</v>
      </c>
      <c r="I435" s="23">
        <v>20</v>
      </c>
      <c r="J435" s="23">
        <v>6000</v>
      </c>
      <c r="K435" s="23">
        <v>3</v>
      </c>
      <c r="L435" s="23">
        <v>1</v>
      </c>
      <c r="M435" s="23" t="s">
        <v>161</v>
      </c>
      <c r="N435" s="23">
        <v>0</v>
      </c>
      <c r="P435" s="23">
        <v>0</v>
      </c>
      <c r="S435" s="23"/>
    </row>
    <row r="436" spans="1:19">
      <c r="A436" s="23" t="s">
        <v>126</v>
      </c>
      <c r="B436" s="23" t="s">
        <v>65</v>
      </c>
      <c r="C436" s="23" t="s">
        <v>21</v>
      </c>
      <c r="D436" s="23" t="s">
        <v>182</v>
      </c>
      <c r="E436" s="23">
        <v>1</v>
      </c>
      <c r="F436" s="23" t="s">
        <v>50</v>
      </c>
      <c r="G436" s="23" t="s">
        <v>149</v>
      </c>
      <c r="H436" s="23">
        <v>3</v>
      </c>
      <c r="I436" s="23">
        <v>20</v>
      </c>
      <c r="J436" s="23">
        <v>6000</v>
      </c>
      <c r="K436" s="23">
        <v>3</v>
      </c>
      <c r="L436" s="23">
        <v>1</v>
      </c>
      <c r="M436" s="23" t="s">
        <v>160</v>
      </c>
      <c r="N436" s="23">
        <v>0</v>
      </c>
      <c r="P436" s="23">
        <v>0</v>
      </c>
      <c r="S436" s="23"/>
    </row>
    <row r="437" spans="1:19">
      <c r="A437" s="23" t="s">
        <v>126</v>
      </c>
      <c r="B437" s="23" t="s">
        <v>65</v>
      </c>
      <c r="C437" s="23" t="s">
        <v>21</v>
      </c>
      <c r="D437" s="23" t="s">
        <v>182</v>
      </c>
      <c r="E437" s="23">
        <v>1</v>
      </c>
      <c r="F437" s="23" t="s">
        <v>50</v>
      </c>
      <c r="G437" s="23" t="s">
        <v>150</v>
      </c>
      <c r="H437" s="23">
        <v>4</v>
      </c>
      <c r="I437" s="23">
        <v>20</v>
      </c>
      <c r="J437" s="23">
        <v>6000</v>
      </c>
      <c r="K437" s="23">
        <v>3</v>
      </c>
      <c r="L437" s="23">
        <v>1</v>
      </c>
      <c r="M437" s="23" t="s">
        <v>161</v>
      </c>
      <c r="N437" s="23">
        <v>0</v>
      </c>
      <c r="P437" s="23">
        <v>0</v>
      </c>
      <c r="S437" s="23"/>
    </row>
    <row r="438" spans="1:19">
      <c r="A438" s="23" t="s">
        <v>126</v>
      </c>
      <c r="B438" s="23" t="s">
        <v>65</v>
      </c>
      <c r="C438" s="23" t="s">
        <v>21</v>
      </c>
      <c r="D438" s="23" t="s">
        <v>182</v>
      </c>
      <c r="E438" s="23">
        <v>1</v>
      </c>
      <c r="F438" s="23" t="s">
        <v>50</v>
      </c>
      <c r="G438" s="23" t="s">
        <v>151</v>
      </c>
      <c r="H438" s="23">
        <v>5</v>
      </c>
      <c r="I438" s="23">
        <v>20</v>
      </c>
      <c r="J438" s="23">
        <v>6000</v>
      </c>
      <c r="K438" s="23">
        <v>3</v>
      </c>
      <c r="L438" s="23">
        <v>1</v>
      </c>
      <c r="M438" s="23" t="s">
        <v>161</v>
      </c>
      <c r="N438" s="23">
        <v>0</v>
      </c>
      <c r="P438" s="23">
        <v>0</v>
      </c>
      <c r="S438" s="23"/>
    </row>
    <row r="439" spans="1:19">
      <c r="A439" s="23" t="s">
        <v>126</v>
      </c>
      <c r="B439" s="23" t="s">
        <v>65</v>
      </c>
      <c r="C439" s="23" t="s">
        <v>21</v>
      </c>
      <c r="D439" s="23" t="s">
        <v>182</v>
      </c>
      <c r="E439" s="23">
        <v>1</v>
      </c>
      <c r="F439" s="23" t="s">
        <v>50</v>
      </c>
      <c r="G439" s="23" t="s">
        <v>152</v>
      </c>
      <c r="H439" s="23">
        <v>6</v>
      </c>
      <c r="I439" s="23">
        <v>20</v>
      </c>
      <c r="J439" s="23">
        <v>6000</v>
      </c>
      <c r="K439" s="23">
        <v>3</v>
      </c>
      <c r="L439" s="23">
        <v>1</v>
      </c>
      <c r="M439" s="23" t="s">
        <v>160</v>
      </c>
      <c r="N439" s="23">
        <v>1</v>
      </c>
      <c r="O439" s="23" t="s">
        <v>190</v>
      </c>
      <c r="P439" s="23">
        <v>1</v>
      </c>
      <c r="Q439" s="23" t="s">
        <v>190</v>
      </c>
      <c r="R439" s="23">
        <v>0</v>
      </c>
      <c r="S439" s="23">
        <v>6.2901493585001402</v>
      </c>
    </row>
    <row r="440" spans="1:19">
      <c r="A440" s="23" t="s">
        <v>126</v>
      </c>
      <c r="B440" s="23" t="s">
        <v>65</v>
      </c>
      <c r="C440" s="23" t="s">
        <v>22</v>
      </c>
      <c r="D440" s="23" t="s">
        <v>182</v>
      </c>
      <c r="E440" s="23">
        <v>2</v>
      </c>
      <c r="F440" s="23" t="s">
        <v>52</v>
      </c>
      <c r="G440" s="23" t="s">
        <v>153</v>
      </c>
      <c r="H440" s="23">
        <v>1</v>
      </c>
      <c r="I440" s="23">
        <v>20</v>
      </c>
      <c r="J440" s="23">
        <v>6000</v>
      </c>
      <c r="K440" s="23">
        <v>3</v>
      </c>
      <c r="L440" s="23">
        <v>2</v>
      </c>
      <c r="M440" s="23" t="s">
        <v>160</v>
      </c>
      <c r="N440" s="23">
        <v>0</v>
      </c>
      <c r="P440" s="23">
        <v>0</v>
      </c>
      <c r="S440" s="23"/>
    </row>
    <row r="441" spans="1:19">
      <c r="A441" s="23" t="s">
        <v>126</v>
      </c>
      <c r="B441" s="23" t="s">
        <v>65</v>
      </c>
      <c r="C441" s="23" t="s">
        <v>22</v>
      </c>
      <c r="D441" s="23" t="s">
        <v>182</v>
      </c>
      <c r="E441" s="23">
        <v>2</v>
      </c>
      <c r="F441" s="23" t="s">
        <v>52</v>
      </c>
      <c r="G441" s="23" t="s">
        <v>154</v>
      </c>
      <c r="H441" s="23">
        <v>2</v>
      </c>
      <c r="I441" s="23">
        <v>20</v>
      </c>
      <c r="J441" s="23">
        <v>6000</v>
      </c>
      <c r="K441" s="23">
        <v>3</v>
      </c>
      <c r="L441" s="23">
        <v>2</v>
      </c>
      <c r="M441" s="23" t="s">
        <v>161</v>
      </c>
      <c r="N441" s="23">
        <v>0</v>
      </c>
      <c r="P441" s="23">
        <v>0</v>
      </c>
      <c r="S441" s="23"/>
    </row>
    <row r="442" spans="1:19">
      <c r="A442" s="23" t="s">
        <v>126</v>
      </c>
      <c r="B442" s="23" t="s">
        <v>65</v>
      </c>
      <c r="C442" s="23" t="s">
        <v>22</v>
      </c>
      <c r="D442" s="23" t="s">
        <v>182</v>
      </c>
      <c r="E442" s="23">
        <v>2</v>
      </c>
      <c r="F442" s="23" t="s">
        <v>51</v>
      </c>
      <c r="G442" s="23" t="s">
        <v>155</v>
      </c>
      <c r="H442" s="23">
        <v>3</v>
      </c>
      <c r="I442" s="23">
        <v>20</v>
      </c>
      <c r="J442" s="23">
        <v>6000</v>
      </c>
      <c r="K442" s="23">
        <v>3</v>
      </c>
      <c r="L442" s="23">
        <v>2</v>
      </c>
      <c r="M442" s="23" t="s">
        <v>161</v>
      </c>
      <c r="N442" s="23">
        <v>0</v>
      </c>
      <c r="P442" s="23">
        <v>0</v>
      </c>
      <c r="S442" s="23"/>
    </row>
    <row r="443" spans="1:19">
      <c r="A443" s="23" t="s">
        <v>126</v>
      </c>
      <c r="B443" s="23" t="s">
        <v>65</v>
      </c>
      <c r="C443" s="23" t="s">
        <v>22</v>
      </c>
      <c r="D443" s="23" t="s">
        <v>182</v>
      </c>
      <c r="E443" s="23">
        <v>2</v>
      </c>
      <c r="F443" s="23" t="s">
        <v>51</v>
      </c>
      <c r="G443" s="23" t="s">
        <v>156</v>
      </c>
      <c r="H443" s="23">
        <v>4</v>
      </c>
      <c r="I443" s="23">
        <v>20</v>
      </c>
      <c r="J443" s="23">
        <v>6000</v>
      </c>
      <c r="K443" s="23">
        <v>3</v>
      </c>
      <c r="L443" s="23">
        <v>2</v>
      </c>
      <c r="M443" s="23" t="s">
        <v>160</v>
      </c>
      <c r="N443" s="23">
        <v>0</v>
      </c>
      <c r="P443" s="23">
        <v>0</v>
      </c>
      <c r="S443" s="23"/>
    </row>
    <row r="444" spans="1:19">
      <c r="A444" s="23" t="s">
        <v>126</v>
      </c>
      <c r="B444" s="23" t="s">
        <v>65</v>
      </c>
      <c r="C444" s="23" t="s">
        <v>22</v>
      </c>
      <c r="D444" s="23" t="s">
        <v>182</v>
      </c>
      <c r="E444" s="23">
        <v>2</v>
      </c>
      <c r="F444" s="23" t="s">
        <v>51</v>
      </c>
      <c r="G444" s="23" t="s">
        <v>157</v>
      </c>
      <c r="H444" s="23">
        <v>5</v>
      </c>
      <c r="I444" s="23">
        <v>20</v>
      </c>
      <c r="J444" s="23">
        <v>6000</v>
      </c>
      <c r="K444" s="23">
        <v>3</v>
      </c>
      <c r="L444" s="23">
        <v>2</v>
      </c>
      <c r="M444" s="23" t="s">
        <v>161</v>
      </c>
      <c r="N444" s="23">
        <v>0</v>
      </c>
      <c r="P444" s="23">
        <v>0</v>
      </c>
      <c r="S444" s="26"/>
    </row>
    <row r="445" spans="1:19">
      <c r="A445" s="23" t="s">
        <v>126</v>
      </c>
      <c r="B445" s="23" t="s">
        <v>65</v>
      </c>
      <c r="C445" s="23" t="s">
        <v>22</v>
      </c>
      <c r="D445" s="23" t="s">
        <v>182</v>
      </c>
      <c r="E445" s="23">
        <v>2</v>
      </c>
      <c r="F445" s="23" t="s">
        <v>51</v>
      </c>
      <c r="G445" s="23" t="s">
        <v>158</v>
      </c>
      <c r="H445" s="23">
        <v>6</v>
      </c>
      <c r="I445" s="23">
        <v>20</v>
      </c>
      <c r="J445" s="23">
        <v>6000</v>
      </c>
      <c r="K445" s="23">
        <v>3</v>
      </c>
      <c r="L445" s="23">
        <v>2</v>
      </c>
      <c r="M445" s="23" t="s">
        <v>160</v>
      </c>
      <c r="N445" s="23">
        <v>1</v>
      </c>
      <c r="O445" s="23" t="s">
        <v>190</v>
      </c>
      <c r="P445" s="23">
        <v>1</v>
      </c>
      <c r="Q445" s="23" t="s">
        <v>190</v>
      </c>
      <c r="R445" s="23">
        <v>0</v>
      </c>
      <c r="S445" s="26">
        <v>5.5064748882749912</v>
      </c>
    </row>
    <row r="446" spans="1:19">
      <c r="A446" s="23" t="s">
        <v>126</v>
      </c>
      <c r="B446" s="23" t="s">
        <v>65</v>
      </c>
      <c r="C446" s="23" t="s">
        <v>14</v>
      </c>
      <c r="D446" s="23" t="s">
        <v>182</v>
      </c>
      <c r="E446" s="23">
        <v>3</v>
      </c>
      <c r="F446" s="23" t="s">
        <v>58</v>
      </c>
      <c r="G446" s="23" t="s">
        <v>156</v>
      </c>
      <c r="H446" s="23">
        <v>1</v>
      </c>
      <c r="I446" s="23">
        <v>20</v>
      </c>
      <c r="J446" s="23">
        <v>6000</v>
      </c>
      <c r="K446" s="23">
        <v>3</v>
      </c>
      <c r="L446" s="23">
        <v>3</v>
      </c>
      <c r="M446" s="23" t="s">
        <v>161</v>
      </c>
      <c r="N446" s="23">
        <v>1</v>
      </c>
      <c r="O446" s="23" t="s">
        <v>190</v>
      </c>
      <c r="P446" s="23">
        <v>1</v>
      </c>
      <c r="S446" s="23"/>
    </row>
    <row r="447" spans="1:19">
      <c r="A447" s="23" t="s">
        <v>126</v>
      </c>
      <c r="B447" s="23" t="s">
        <v>65</v>
      </c>
      <c r="C447" s="23" t="s">
        <v>14</v>
      </c>
      <c r="D447" s="23" t="s">
        <v>182</v>
      </c>
      <c r="E447" s="23">
        <v>3</v>
      </c>
      <c r="F447" s="23" t="s">
        <v>58</v>
      </c>
      <c r="G447" s="23" t="s">
        <v>157</v>
      </c>
      <c r="H447" s="23">
        <v>2</v>
      </c>
      <c r="I447" s="23">
        <v>20</v>
      </c>
      <c r="J447" s="23">
        <v>6000</v>
      </c>
      <c r="K447" s="23">
        <v>3</v>
      </c>
      <c r="L447" s="23">
        <v>3</v>
      </c>
      <c r="M447" s="23" t="s">
        <v>160</v>
      </c>
      <c r="N447" s="23">
        <v>1</v>
      </c>
      <c r="O447" s="23" t="s">
        <v>190</v>
      </c>
      <c r="P447" s="23">
        <v>1</v>
      </c>
      <c r="S447" s="23"/>
    </row>
    <row r="448" spans="1:19">
      <c r="A448" s="23" t="s">
        <v>126</v>
      </c>
      <c r="B448" s="23" t="s">
        <v>65</v>
      </c>
      <c r="C448" s="23" t="s">
        <v>14</v>
      </c>
      <c r="D448" s="23" t="s">
        <v>182</v>
      </c>
      <c r="E448" s="23">
        <v>3</v>
      </c>
      <c r="F448" s="23" t="s">
        <v>58</v>
      </c>
      <c r="G448" s="23" t="s">
        <v>153</v>
      </c>
      <c r="H448" s="23">
        <v>3</v>
      </c>
      <c r="I448" s="23">
        <v>20</v>
      </c>
      <c r="J448" s="23">
        <v>6000</v>
      </c>
      <c r="K448" s="23">
        <v>3</v>
      </c>
      <c r="L448" s="23">
        <v>3</v>
      </c>
      <c r="M448" s="23" t="s">
        <v>161</v>
      </c>
      <c r="N448" s="23">
        <v>0</v>
      </c>
      <c r="P448" s="23">
        <v>0</v>
      </c>
      <c r="S448" s="23"/>
    </row>
    <row r="449" spans="1:19">
      <c r="A449" s="23" t="s">
        <v>126</v>
      </c>
      <c r="B449" s="23" t="s">
        <v>65</v>
      </c>
      <c r="C449" s="23" t="s">
        <v>14</v>
      </c>
      <c r="D449" s="23" t="s">
        <v>182</v>
      </c>
      <c r="E449" s="23">
        <v>3</v>
      </c>
      <c r="F449" s="23" t="s">
        <v>58</v>
      </c>
      <c r="G449" s="23" t="s">
        <v>158</v>
      </c>
      <c r="H449" s="23">
        <v>4</v>
      </c>
      <c r="I449" s="23">
        <v>20</v>
      </c>
      <c r="J449" s="23">
        <v>6000</v>
      </c>
      <c r="K449" s="23">
        <v>3</v>
      </c>
      <c r="L449" s="23">
        <v>3</v>
      </c>
      <c r="M449" s="23" t="s">
        <v>161</v>
      </c>
      <c r="N449" s="23">
        <v>0</v>
      </c>
      <c r="P449" s="23">
        <v>0</v>
      </c>
      <c r="S449" s="23"/>
    </row>
    <row r="450" spans="1:19">
      <c r="A450" s="23" t="s">
        <v>126</v>
      </c>
      <c r="B450" s="23" t="s">
        <v>65</v>
      </c>
      <c r="C450" s="23" t="s">
        <v>14</v>
      </c>
      <c r="D450" s="23" t="s">
        <v>182</v>
      </c>
      <c r="E450" s="23">
        <v>3</v>
      </c>
      <c r="F450" s="23" t="s">
        <v>58</v>
      </c>
      <c r="G450" s="23" t="s">
        <v>155</v>
      </c>
      <c r="H450" s="23">
        <v>5</v>
      </c>
      <c r="I450" s="23">
        <v>20</v>
      </c>
      <c r="J450" s="23">
        <v>6000</v>
      </c>
      <c r="K450" s="23">
        <v>3</v>
      </c>
      <c r="L450" s="23">
        <v>3</v>
      </c>
      <c r="M450" s="23" t="s">
        <v>160</v>
      </c>
      <c r="N450" s="23">
        <v>0</v>
      </c>
      <c r="P450" s="23">
        <v>0</v>
      </c>
      <c r="S450" s="26"/>
    </row>
    <row r="451" spans="1:19">
      <c r="A451" s="23" t="s">
        <v>126</v>
      </c>
      <c r="B451" s="23" t="s">
        <v>65</v>
      </c>
      <c r="C451" s="23" t="s">
        <v>14</v>
      </c>
      <c r="D451" s="23" t="s">
        <v>182</v>
      </c>
      <c r="E451" s="23">
        <v>3</v>
      </c>
      <c r="F451" s="23" t="s">
        <v>58</v>
      </c>
      <c r="G451" s="23" t="s">
        <v>154</v>
      </c>
      <c r="H451" s="23">
        <v>6</v>
      </c>
      <c r="I451" s="23">
        <v>20</v>
      </c>
      <c r="J451" s="23">
        <v>6000</v>
      </c>
      <c r="K451" s="23">
        <v>3</v>
      </c>
      <c r="L451" s="23">
        <v>3</v>
      </c>
      <c r="M451" s="23" t="s">
        <v>160</v>
      </c>
      <c r="N451" s="23">
        <v>1</v>
      </c>
      <c r="O451" s="23" t="s">
        <v>190</v>
      </c>
      <c r="P451" s="23">
        <v>1</v>
      </c>
      <c r="R451" s="23">
        <v>0</v>
      </c>
      <c r="S451" s="26">
        <v>5.8409364211219561</v>
      </c>
    </row>
    <row r="452" spans="1:19">
      <c r="A452" s="23" t="s">
        <v>46</v>
      </c>
      <c r="B452" s="23" t="s">
        <v>65</v>
      </c>
      <c r="C452" s="23" t="s">
        <v>14</v>
      </c>
      <c r="D452" s="23" t="s">
        <v>185</v>
      </c>
      <c r="E452" s="23">
        <v>1</v>
      </c>
      <c r="F452" s="23" t="s">
        <v>50</v>
      </c>
      <c r="G452" s="23" t="s">
        <v>147</v>
      </c>
      <c r="H452" s="23">
        <v>1</v>
      </c>
      <c r="I452" s="23">
        <v>22</v>
      </c>
      <c r="J452" s="23">
        <v>10000</v>
      </c>
      <c r="K452" s="23">
        <v>3</v>
      </c>
      <c r="L452" s="23">
        <v>1</v>
      </c>
      <c r="M452" s="23" t="s">
        <v>160</v>
      </c>
      <c r="N452" s="23">
        <v>0</v>
      </c>
      <c r="P452" s="23">
        <v>0</v>
      </c>
      <c r="S452" s="23"/>
    </row>
    <row r="453" spans="1:19">
      <c r="A453" s="23" t="s">
        <v>46</v>
      </c>
      <c r="B453" s="23" t="s">
        <v>65</v>
      </c>
      <c r="C453" s="23" t="s">
        <v>14</v>
      </c>
      <c r="D453" s="23" t="s">
        <v>185</v>
      </c>
      <c r="E453" s="23">
        <v>1</v>
      </c>
      <c r="F453" s="23" t="s">
        <v>50</v>
      </c>
      <c r="G453" s="23" t="s">
        <v>148</v>
      </c>
      <c r="H453" s="23">
        <v>2</v>
      </c>
      <c r="I453" s="23">
        <v>22</v>
      </c>
      <c r="J453" s="23">
        <v>10000</v>
      </c>
      <c r="K453" s="23">
        <v>3</v>
      </c>
      <c r="L453" s="23">
        <v>1</v>
      </c>
      <c r="M453" s="23" t="s">
        <v>161</v>
      </c>
      <c r="N453" s="23">
        <v>0</v>
      </c>
      <c r="P453" s="23">
        <v>0</v>
      </c>
      <c r="S453" s="23"/>
    </row>
    <row r="454" spans="1:19">
      <c r="A454" s="23" t="s">
        <v>129</v>
      </c>
      <c r="B454" s="23" t="s">
        <v>65</v>
      </c>
      <c r="C454" s="23" t="s">
        <v>14</v>
      </c>
      <c r="D454" s="23" t="s">
        <v>184</v>
      </c>
      <c r="E454" s="23">
        <v>1</v>
      </c>
      <c r="F454" s="23" t="s">
        <v>50</v>
      </c>
      <c r="G454" s="23" t="s">
        <v>149</v>
      </c>
      <c r="H454" s="23">
        <v>3</v>
      </c>
      <c r="I454" s="23">
        <v>22</v>
      </c>
      <c r="J454" s="23">
        <v>10000</v>
      </c>
      <c r="K454" s="23">
        <v>3</v>
      </c>
      <c r="L454" s="23">
        <v>1</v>
      </c>
      <c r="M454" s="23" t="s">
        <v>160</v>
      </c>
      <c r="N454" s="23">
        <v>0</v>
      </c>
      <c r="P454" s="23">
        <v>0</v>
      </c>
      <c r="S454" s="23"/>
    </row>
    <row r="455" spans="1:19">
      <c r="A455" s="23" t="s">
        <v>129</v>
      </c>
      <c r="B455" s="23" t="s">
        <v>65</v>
      </c>
      <c r="C455" s="23" t="s">
        <v>14</v>
      </c>
      <c r="D455" s="23" t="s">
        <v>184</v>
      </c>
      <c r="E455" s="23">
        <v>1</v>
      </c>
      <c r="F455" s="23" t="s">
        <v>50</v>
      </c>
      <c r="G455" s="23" t="s">
        <v>150</v>
      </c>
      <c r="H455" s="23">
        <v>4</v>
      </c>
      <c r="I455" s="23">
        <v>22</v>
      </c>
      <c r="J455" s="23">
        <v>10000</v>
      </c>
      <c r="K455" s="23">
        <v>3</v>
      </c>
      <c r="L455" s="23">
        <v>1</v>
      </c>
      <c r="M455" s="23" t="s">
        <v>161</v>
      </c>
      <c r="N455" s="23">
        <v>0</v>
      </c>
      <c r="P455" s="23">
        <v>0</v>
      </c>
      <c r="S455" s="23"/>
    </row>
    <row r="456" spans="1:19">
      <c r="A456" s="23" t="s">
        <v>129</v>
      </c>
      <c r="B456" s="23" t="s">
        <v>65</v>
      </c>
      <c r="C456" s="23" t="s">
        <v>14</v>
      </c>
      <c r="D456" s="23" t="s">
        <v>184</v>
      </c>
      <c r="E456" s="23">
        <v>1</v>
      </c>
      <c r="F456" s="23" t="s">
        <v>50</v>
      </c>
      <c r="G456" s="23" t="s">
        <v>151</v>
      </c>
      <c r="H456" s="23">
        <v>5</v>
      </c>
      <c r="I456" s="23">
        <v>22</v>
      </c>
      <c r="J456" s="23">
        <v>10000</v>
      </c>
      <c r="K456" s="23">
        <v>3</v>
      </c>
      <c r="L456" s="23">
        <v>1</v>
      </c>
      <c r="M456" s="23" t="s">
        <v>161</v>
      </c>
      <c r="N456" s="23">
        <v>0</v>
      </c>
      <c r="P456" s="23">
        <v>0</v>
      </c>
      <c r="S456" s="23"/>
    </row>
    <row r="457" spans="1:19">
      <c r="A457" s="23" t="s">
        <v>129</v>
      </c>
      <c r="B457" s="23" t="s">
        <v>65</v>
      </c>
      <c r="C457" s="23" t="s">
        <v>14</v>
      </c>
      <c r="D457" s="23" t="s">
        <v>184</v>
      </c>
      <c r="E457" s="23">
        <v>1</v>
      </c>
      <c r="F457" s="23" t="s">
        <v>50</v>
      </c>
      <c r="G457" s="23" t="s">
        <v>152</v>
      </c>
      <c r="H457" s="23">
        <v>6</v>
      </c>
      <c r="I457" s="23">
        <v>22</v>
      </c>
      <c r="J457" s="23">
        <v>10000</v>
      </c>
      <c r="K457" s="23">
        <v>3</v>
      </c>
      <c r="L457" s="23">
        <v>1</v>
      </c>
      <c r="M457" s="23" t="s">
        <v>160</v>
      </c>
      <c r="N457" s="23">
        <v>1</v>
      </c>
      <c r="O457" s="23" t="s">
        <v>190</v>
      </c>
      <c r="P457" s="23">
        <v>1</v>
      </c>
      <c r="R457" s="23">
        <v>0</v>
      </c>
      <c r="S457" s="23">
        <v>2.7935649730320971</v>
      </c>
    </row>
    <row r="458" spans="1:19">
      <c r="A458" s="23" t="s">
        <v>129</v>
      </c>
      <c r="B458" s="23" t="s">
        <v>65</v>
      </c>
      <c r="C458" s="23" t="s">
        <v>21</v>
      </c>
      <c r="D458" s="23" t="s">
        <v>184</v>
      </c>
      <c r="E458" s="23">
        <v>2</v>
      </c>
      <c r="F458" s="23" t="s">
        <v>52</v>
      </c>
      <c r="G458" s="23" t="s">
        <v>153</v>
      </c>
      <c r="H458" s="23">
        <v>1</v>
      </c>
      <c r="I458" s="23">
        <v>22</v>
      </c>
      <c r="J458" s="23">
        <v>10000</v>
      </c>
      <c r="K458" s="23">
        <v>3</v>
      </c>
      <c r="L458" s="23">
        <v>2</v>
      </c>
      <c r="M458" s="23" t="s">
        <v>160</v>
      </c>
      <c r="N458" s="23">
        <v>0</v>
      </c>
      <c r="P458" s="23">
        <v>0</v>
      </c>
      <c r="S458" s="23"/>
    </row>
    <row r="459" spans="1:19">
      <c r="A459" s="23" t="s">
        <v>129</v>
      </c>
      <c r="B459" s="23" t="s">
        <v>65</v>
      </c>
      <c r="C459" s="23" t="s">
        <v>21</v>
      </c>
      <c r="D459" s="23" t="s">
        <v>184</v>
      </c>
      <c r="E459" s="23">
        <v>2</v>
      </c>
      <c r="F459" s="23" t="s">
        <v>52</v>
      </c>
      <c r="G459" s="23" t="s">
        <v>154</v>
      </c>
      <c r="H459" s="23">
        <v>2</v>
      </c>
      <c r="I459" s="23">
        <v>22</v>
      </c>
      <c r="J459" s="23">
        <v>10000</v>
      </c>
      <c r="K459" s="23">
        <v>3</v>
      </c>
      <c r="L459" s="23">
        <v>2</v>
      </c>
      <c r="M459" s="23" t="s">
        <v>161</v>
      </c>
      <c r="N459" s="23">
        <v>0</v>
      </c>
      <c r="P459" s="23">
        <v>0</v>
      </c>
      <c r="S459" s="23"/>
    </row>
    <row r="460" spans="1:19">
      <c r="A460" s="23" t="s">
        <v>129</v>
      </c>
      <c r="B460" s="23" t="s">
        <v>65</v>
      </c>
      <c r="C460" s="23" t="s">
        <v>21</v>
      </c>
      <c r="D460" s="23" t="s">
        <v>184</v>
      </c>
      <c r="E460" s="23">
        <v>2</v>
      </c>
      <c r="F460" s="23" t="s">
        <v>51</v>
      </c>
      <c r="G460" s="23" t="s">
        <v>155</v>
      </c>
      <c r="H460" s="23">
        <v>3</v>
      </c>
      <c r="I460" s="23">
        <v>22</v>
      </c>
      <c r="J460" s="23">
        <v>10000</v>
      </c>
      <c r="K460" s="23">
        <v>3</v>
      </c>
      <c r="L460" s="23">
        <v>2</v>
      </c>
      <c r="M460" s="23" t="s">
        <v>161</v>
      </c>
      <c r="N460" s="23">
        <v>0</v>
      </c>
      <c r="P460" s="23">
        <v>0</v>
      </c>
      <c r="S460" s="23"/>
    </row>
    <row r="461" spans="1:19">
      <c r="A461" s="23" t="s">
        <v>129</v>
      </c>
      <c r="B461" s="23" t="s">
        <v>65</v>
      </c>
      <c r="C461" s="23" t="s">
        <v>21</v>
      </c>
      <c r="D461" s="23" t="s">
        <v>184</v>
      </c>
      <c r="E461" s="23">
        <v>2</v>
      </c>
      <c r="F461" s="23" t="s">
        <v>51</v>
      </c>
      <c r="G461" s="23" t="s">
        <v>156</v>
      </c>
      <c r="H461" s="23">
        <v>4</v>
      </c>
      <c r="I461" s="23">
        <v>22</v>
      </c>
      <c r="J461" s="23">
        <v>10000</v>
      </c>
      <c r="K461" s="23">
        <v>3</v>
      </c>
      <c r="L461" s="23">
        <v>2</v>
      </c>
      <c r="M461" s="23" t="s">
        <v>160</v>
      </c>
      <c r="N461" s="23">
        <v>0</v>
      </c>
      <c r="P461" s="23">
        <v>0</v>
      </c>
      <c r="S461" s="23"/>
    </row>
    <row r="462" spans="1:19">
      <c r="A462" s="23" t="s">
        <v>129</v>
      </c>
      <c r="B462" s="23" t="s">
        <v>65</v>
      </c>
      <c r="C462" s="23" t="s">
        <v>21</v>
      </c>
      <c r="D462" s="23" t="s">
        <v>184</v>
      </c>
      <c r="E462" s="23">
        <v>2</v>
      </c>
      <c r="F462" s="23" t="s">
        <v>51</v>
      </c>
      <c r="G462" s="23" t="s">
        <v>157</v>
      </c>
      <c r="H462" s="23">
        <v>5</v>
      </c>
      <c r="I462" s="23">
        <v>22</v>
      </c>
      <c r="J462" s="23">
        <v>10000</v>
      </c>
      <c r="K462" s="23">
        <v>3</v>
      </c>
      <c r="L462" s="23">
        <v>2</v>
      </c>
      <c r="M462" s="23" t="s">
        <v>161</v>
      </c>
      <c r="N462" s="23">
        <v>0</v>
      </c>
      <c r="P462" s="23">
        <v>0</v>
      </c>
      <c r="S462" s="26"/>
    </row>
    <row r="463" spans="1:19">
      <c r="A463" s="23" t="s">
        <v>129</v>
      </c>
      <c r="B463" s="23" t="s">
        <v>65</v>
      </c>
      <c r="C463" s="23" t="s">
        <v>21</v>
      </c>
      <c r="D463" s="23" t="s">
        <v>184</v>
      </c>
      <c r="E463" s="23">
        <v>2</v>
      </c>
      <c r="F463" s="23" t="s">
        <v>51</v>
      </c>
      <c r="G463" s="23" t="s">
        <v>158</v>
      </c>
      <c r="H463" s="23">
        <v>6</v>
      </c>
      <c r="I463" s="23">
        <v>22</v>
      </c>
      <c r="J463" s="23">
        <v>10000</v>
      </c>
      <c r="K463" s="23">
        <v>3</v>
      </c>
      <c r="L463" s="23">
        <v>2</v>
      </c>
      <c r="M463" s="23" t="s">
        <v>160</v>
      </c>
      <c r="N463" s="23">
        <v>0</v>
      </c>
      <c r="P463" s="23">
        <v>0</v>
      </c>
      <c r="R463" s="23">
        <v>1</v>
      </c>
      <c r="S463" s="26"/>
    </row>
    <row r="464" spans="1:19">
      <c r="A464" s="23" t="s">
        <v>129</v>
      </c>
      <c r="B464" s="23" t="s">
        <v>65</v>
      </c>
      <c r="C464" s="23" t="s">
        <v>22</v>
      </c>
      <c r="D464" s="23" t="s">
        <v>184</v>
      </c>
      <c r="E464" s="23">
        <v>3</v>
      </c>
      <c r="F464" s="23" t="s">
        <v>58</v>
      </c>
      <c r="G464" s="23" t="s">
        <v>156</v>
      </c>
      <c r="H464" s="23">
        <v>1</v>
      </c>
      <c r="I464" s="23">
        <v>22</v>
      </c>
      <c r="J464" s="23">
        <v>10000</v>
      </c>
      <c r="K464" s="23">
        <v>3</v>
      </c>
      <c r="L464" s="23">
        <v>3</v>
      </c>
      <c r="M464" s="23" t="s">
        <v>161</v>
      </c>
      <c r="N464" s="23">
        <v>0</v>
      </c>
      <c r="P464" s="23">
        <v>0</v>
      </c>
      <c r="S464" s="23"/>
    </row>
    <row r="465" spans="1:19">
      <c r="A465" s="23" t="s">
        <v>129</v>
      </c>
      <c r="B465" s="23" t="s">
        <v>65</v>
      </c>
      <c r="C465" s="23" t="s">
        <v>22</v>
      </c>
      <c r="D465" s="23" t="s">
        <v>184</v>
      </c>
      <c r="E465" s="23">
        <v>3</v>
      </c>
      <c r="F465" s="23" t="s">
        <v>58</v>
      </c>
      <c r="G465" s="23" t="s">
        <v>157</v>
      </c>
      <c r="H465" s="23">
        <v>2</v>
      </c>
      <c r="I465" s="23">
        <v>22</v>
      </c>
      <c r="J465" s="23">
        <v>10000</v>
      </c>
      <c r="K465" s="23">
        <v>3</v>
      </c>
      <c r="L465" s="23">
        <v>3</v>
      </c>
      <c r="M465" s="23" t="s">
        <v>160</v>
      </c>
      <c r="N465" s="23">
        <v>0</v>
      </c>
      <c r="P465" s="23">
        <v>0</v>
      </c>
      <c r="S465" s="23"/>
    </row>
    <row r="466" spans="1:19">
      <c r="A466" s="23" t="s">
        <v>129</v>
      </c>
      <c r="B466" s="23" t="s">
        <v>65</v>
      </c>
      <c r="C466" s="23" t="s">
        <v>22</v>
      </c>
      <c r="D466" s="23" t="s">
        <v>184</v>
      </c>
      <c r="E466" s="23">
        <v>3</v>
      </c>
      <c r="F466" s="23" t="s">
        <v>58</v>
      </c>
      <c r="G466" s="23" t="s">
        <v>153</v>
      </c>
      <c r="H466" s="23">
        <v>3</v>
      </c>
      <c r="I466" s="23">
        <v>22</v>
      </c>
      <c r="J466" s="23">
        <v>10000</v>
      </c>
      <c r="K466" s="23">
        <v>3</v>
      </c>
      <c r="L466" s="23">
        <v>3</v>
      </c>
      <c r="M466" s="23" t="s">
        <v>161</v>
      </c>
      <c r="N466" s="23">
        <v>0</v>
      </c>
      <c r="P466" s="23">
        <v>0</v>
      </c>
      <c r="S466" s="23"/>
    </row>
    <row r="467" spans="1:19">
      <c r="A467" s="23" t="s">
        <v>129</v>
      </c>
      <c r="B467" s="23" t="s">
        <v>65</v>
      </c>
      <c r="C467" s="23" t="s">
        <v>22</v>
      </c>
      <c r="D467" s="23" t="s">
        <v>184</v>
      </c>
      <c r="E467" s="23">
        <v>3</v>
      </c>
      <c r="F467" s="23" t="s">
        <v>58</v>
      </c>
      <c r="G467" s="23" t="s">
        <v>158</v>
      </c>
      <c r="H467" s="23">
        <v>4</v>
      </c>
      <c r="I467" s="23">
        <v>22</v>
      </c>
      <c r="J467" s="23">
        <v>10000</v>
      </c>
      <c r="K467" s="23">
        <v>3</v>
      </c>
      <c r="L467" s="23">
        <v>3</v>
      </c>
      <c r="M467" s="23" t="s">
        <v>161</v>
      </c>
      <c r="N467" s="23">
        <v>0</v>
      </c>
      <c r="P467" s="23">
        <v>0</v>
      </c>
      <c r="S467" s="23"/>
    </row>
    <row r="468" spans="1:19">
      <c r="A468" s="23" t="s">
        <v>129</v>
      </c>
      <c r="B468" s="23" t="s">
        <v>65</v>
      </c>
      <c r="C468" s="23" t="s">
        <v>22</v>
      </c>
      <c r="D468" s="23" t="s">
        <v>184</v>
      </c>
      <c r="E468" s="23">
        <v>3</v>
      </c>
      <c r="F468" s="23" t="s">
        <v>58</v>
      </c>
      <c r="G468" s="23" t="s">
        <v>155</v>
      </c>
      <c r="H468" s="23">
        <v>5</v>
      </c>
      <c r="I468" s="23">
        <v>22</v>
      </c>
      <c r="J468" s="23">
        <v>10000</v>
      </c>
      <c r="K468" s="23">
        <v>3</v>
      </c>
      <c r="L468" s="23">
        <v>3</v>
      </c>
      <c r="M468" s="23" t="s">
        <v>160</v>
      </c>
      <c r="N468" s="23">
        <v>0</v>
      </c>
      <c r="P468" s="23">
        <v>0</v>
      </c>
      <c r="S468" s="26"/>
    </row>
    <row r="469" spans="1:19">
      <c r="A469" s="23" t="s">
        <v>129</v>
      </c>
      <c r="B469" s="23" t="s">
        <v>65</v>
      </c>
      <c r="C469" s="23" t="s">
        <v>22</v>
      </c>
      <c r="D469" s="23" t="s">
        <v>184</v>
      </c>
      <c r="E469" s="23">
        <v>3</v>
      </c>
      <c r="F469" s="23" t="s">
        <v>58</v>
      </c>
      <c r="G469" s="23" t="s">
        <v>154</v>
      </c>
      <c r="H469" s="23">
        <v>6</v>
      </c>
      <c r="I469" s="23">
        <v>22</v>
      </c>
      <c r="J469" s="23">
        <v>10000</v>
      </c>
      <c r="K469" s="23">
        <v>3</v>
      </c>
      <c r="L469" s="23">
        <v>3</v>
      </c>
      <c r="M469" s="23" t="s">
        <v>160</v>
      </c>
      <c r="N469" s="23">
        <v>0</v>
      </c>
      <c r="P469" s="23">
        <v>0</v>
      </c>
      <c r="R469" s="23">
        <v>1</v>
      </c>
      <c r="S469" s="26"/>
    </row>
    <row r="470" spans="1:19">
      <c r="A470" s="23" t="s">
        <v>47</v>
      </c>
      <c r="B470" s="23" t="s">
        <v>65</v>
      </c>
      <c r="C470" s="23" t="s">
        <v>22</v>
      </c>
      <c r="D470" s="23" t="s">
        <v>187</v>
      </c>
      <c r="E470" s="23">
        <v>1</v>
      </c>
      <c r="F470" s="23" t="s">
        <v>50</v>
      </c>
      <c r="G470" s="23" t="s">
        <v>147</v>
      </c>
      <c r="H470" s="23">
        <v>1</v>
      </c>
      <c r="I470" s="23">
        <v>25</v>
      </c>
      <c r="J470" s="23">
        <v>700</v>
      </c>
      <c r="K470" s="23">
        <v>3</v>
      </c>
      <c r="L470" s="23">
        <v>1</v>
      </c>
      <c r="M470" s="23" t="s">
        <v>160</v>
      </c>
      <c r="N470" s="23">
        <v>0</v>
      </c>
      <c r="P470" s="23">
        <v>0</v>
      </c>
      <c r="S470" s="23"/>
    </row>
    <row r="471" spans="1:19">
      <c r="A471" s="23" t="s">
        <v>47</v>
      </c>
      <c r="B471" s="23" t="s">
        <v>65</v>
      </c>
      <c r="C471" s="23" t="s">
        <v>22</v>
      </c>
      <c r="D471" s="23" t="s">
        <v>187</v>
      </c>
      <c r="E471" s="23">
        <v>1</v>
      </c>
      <c r="F471" s="23" t="s">
        <v>50</v>
      </c>
      <c r="G471" s="23" t="s">
        <v>148</v>
      </c>
      <c r="H471" s="23">
        <v>2</v>
      </c>
      <c r="I471" s="23">
        <v>25</v>
      </c>
      <c r="J471" s="23">
        <v>700</v>
      </c>
      <c r="K471" s="23">
        <v>3</v>
      </c>
      <c r="L471" s="23">
        <v>1</v>
      </c>
      <c r="M471" s="23" t="s">
        <v>161</v>
      </c>
      <c r="N471" s="23">
        <v>0</v>
      </c>
      <c r="P471" s="23">
        <v>0</v>
      </c>
      <c r="S471" s="23"/>
    </row>
    <row r="472" spans="1:19">
      <c r="A472" s="23" t="s">
        <v>123</v>
      </c>
      <c r="B472" s="23" t="s">
        <v>65</v>
      </c>
      <c r="C472" s="23" t="s">
        <v>22</v>
      </c>
      <c r="D472" s="23" t="s">
        <v>186</v>
      </c>
      <c r="E472" s="23">
        <v>1</v>
      </c>
      <c r="F472" s="23" t="s">
        <v>50</v>
      </c>
      <c r="G472" s="23" t="s">
        <v>149</v>
      </c>
      <c r="H472" s="23">
        <v>3</v>
      </c>
      <c r="I472" s="23">
        <v>25</v>
      </c>
      <c r="J472" s="23">
        <v>700</v>
      </c>
      <c r="K472" s="23">
        <v>3</v>
      </c>
      <c r="L472" s="23">
        <v>1</v>
      </c>
      <c r="M472" s="23" t="s">
        <v>160</v>
      </c>
      <c r="N472" s="23">
        <v>0</v>
      </c>
      <c r="P472" s="23">
        <v>0</v>
      </c>
      <c r="S472" s="23"/>
    </row>
    <row r="473" spans="1:19">
      <c r="A473" s="23" t="s">
        <v>123</v>
      </c>
      <c r="B473" s="23" t="s">
        <v>65</v>
      </c>
      <c r="C473" s="23" t="s">
        <v>22</v>
      </c>
      <c r="D473" s="23" t="s">
        <v>186</v>
      </c>
      <c r="E473" s="23">
        <v>1</v>
      </c>
      <c r="F473" s="23" t="s">
        <v>50</v>
      </c>
      <c r="G473" s="23" t="s">
        <v>150</v>
      </c>
      <c r="H473" s="23">
        <v>4</v>
      </c>
      <c r="I473" s="23">
        <v>25</v>
      </c>
      <c r="J473" s="23">
        <v>700</v>
      </c>
      <c r="K473" s="23">
        <v>3</v>
      </c>
      <c r="L473" s="23">
        <v>1</v>
      </c>
      <c r="M473" s="23" t="s">
        <v>161</v>
      </c>
      <c r="N473" s="23">
        <v>0</v>
      </c>
      <c r="P473" s="23">
        <v>0</v>
      </c>
      <c r="S473" s="23"/>
    </row>
    <row r="474" spans="1:19">
      <c r="A474" s="23" t="s">
        <v>123</v>
      </c>
      <c r="B474" s="23" t="s">
        <v>65</v>
      </c>
      <c r="C474" s="23" t="s">
        <v>22</v>
      </c>
      <c r="D474" s="23" t="s">
        <v>186</v>
      </c>
      <c r="E474" s="23">
        <v>1</v>
      </c>
      <c r="F474" s="23" t="s">
        <v>50</v>
      </c>
      <c r="G474" s="23" t="s">
        <v>151</v>
      </c>
      <c r="H474" s="23">
        <v>5</v>
      </c>
      <c r="I474" s="23">
        <v>25</v>
      </c>
      <c r="J474" s="23">
        <v>700</v>
      </c>
      <c r="K474" s="23">
        <v>3</v>
      </c>
      <c r="L474" s="23">
        <v>1</v>
      </c>
      <c r="M474" s="23" t="s">
        <v>161</v>
      </c>
      <c r="N474" s="23">
        <v>0</v>
      </c>
      <c r="P474" s="23">
        <v>0</v>
      </c>
      <c r="S474" s="23"/>
    </row>
    <row r="475" spans="1:19">
      <c r="A475" s="23" t="s">
        <v>123</v>
      </c>
      <c r="B475" s="23" t="s">
        <v>65</v>
      </c>
      <c r="C475" s="23" t="s">
        <v>22</v>
      </c>
      <c r="D475" s="23" t="s">
        <v>186</v>
      </c>
      <c r="E475" s="23">
        <v>1</v>
      </c>
      <c r="F475" s="23" t="s">
        <v>50</v>
      </c>
      <c r="G475" s="23" t="s">
        <v>152</v>
      </c>
      <c r="H475" s="23">
        <v>6</v>
      </c>
      <c r="I475" s="23">
        <v>25</v>
      </c>
      <c r="J475" s="23">
        <v>700</v>
      </c>
      <c r="K475" s="23">
        <v>3</v>
      </c>
      <c r="L475" s="23">
        <v>1</v>
      </c>
      <c r="M475" s="23" t="s">
        <v>160</v>
      </c>
      <c r="N475" s="23">
        <v>1</v>
      </c>
      <c r="O475" s="23" t="s">
        <v>190</v>
      </c>
      <c r="P475" s="23">
        <v>1</v>
      </c>
      <c r="Q475" s="23" t="s">
        <v>190</v>
      </c>
      <c r="R475" s="23">
        <v>0</v>
      </c>
      <c r="S475" s="23">
        <v>7.0623969777943518</v>
      </c>
    </row>
    <row r="476" spans="1:19">
      <c r="A476" s="23" t="s">
        <v>123</v>
      </c>
      <c r="B476" s="23" t="s">
        <v>65</v>
      </c>
      <c r="C476" s="23" t="s">
        <v>14</v>
      </c>
      <c r="D476" s="23" t="s">
        <v>186</v>
      </c>
      <c r="E476" s="23">
        <v>2</v>
      </c>
      <c r="F476" s="23" t="s">
        <v>52</v>
      </c>
      <c r="G476" s="23" t="s">
        <v>153</v>
      </c>
      <c r="H476" s="23">
        <v>1</v>
      </c>
      <c r="I476" s="23">
        <v>25</v>
      </c>
      <c r="J476" s="23">
        <v>700</v>
      </c>
      <c r="K476" s="23">
        <v>3</v>
      </c>
      <c r="L476" s="23">
        <v>2</v>
      </c>
      <c r="M476" s="23" t="s">
        <v>160</v>
      </c>
      <c r="N476" s="23">
        <v>1</v>
      </c>
      <c r="O476" s="23" t="s">
        <v>190</v>
      </c>
      <c r="P476" s="23">
        <v>1</v>
      </c>
      <c r="S476" s="23"/>
    </row>
    <row r="477" spans="1:19">
      <c r="A477" s="23" t="s">
        <v>123</v>
      </c>
      <c r="B477" s="23" t="s">
        <v>65</v>
      </c>
      <c r="C477" s="23" t="s">
        <v>14</v>
      </c>
      <c r="D477" s="23" t="s">
        <v>186</v>
      </c>
      <c r="E477" s="23">
        <v>2</v>
      </c>
      <c r="F477" s="23" t="s">
        <v>52</v>
      </c>
      <c r="G477" s="23" t="s">
        <v>154</v>
      </c>
      <c r="H477" s="23">
        <v>2</v>
      </c>
      <c r="I477" s="23">
        <v>25</v>
      </c>
      <c r="J477" s="23">
        <v>700</v>
      </c>
      <c r="K477" s="23">
        <v>3</v>
      </c>
      <c r="L477" s="23">
        <v>2</v>
      </c>
      <c r="M477" s="23" t="s">
        <v>161</v>
      </c>
      <c r="N477" s="23">
        <v>0</v>
      </c>
      <c r="P477" s="23">
        <v>0</v>
      </c>
      <c r="S477" s="23"/>
    </row>
    <row r="478" spans="1:19">
      <c r="A478" s="23" t="s">
        <v>123</v>
      </c>
      <c r="B478" s="23" t="s">
        <v>65</v>
      </c>
      <c r="C478" s="23" t="s">
        <v>14</v>
      </c>
      <c r="D478" s="23" t="s">
        <v>186</v>
      </c>
      <c r="E478" s="23">
        <v>2</v>
      </c>
      <c r="F478" s="23" t="s">
        <v>51</v>
      </c>
      <c r="G478" s="23" t="s">
        <v>155</v>
      </c>
      <c r="H478" s="23">
        <v>3</v>
      </c>
      <c r="I478" s="23">
        <v>25</v>
      </c>
      <c r="J478" s="23">
        <v>700</v>
      </c>
      <c r="K478" s="23">
        <v>3</v>
      </c>
      <c r="L478" s="23">
        <v>2</v>
      </c>
      <c r="M478" s="23" t="s">
        <v>161</v>
      </c>
      <c r="N478" s="23">
        <v>1</v>
      </c>
      <c r="O478" s="23" t="s">
        <v>190</v>
      </c>
      <c r="P478" s="23">
        <v>1</v>
      </c>
      <c r="S478" s="23"/>
    </row>
    <row r="479" spans="1:19">
      <c r="A479" s="23" t="s">
        <v>123</v>
      </c>
      <c r="B479" s="23" t="s">
        <v>65</v>
      </c>
      <c r="C479" s="23" t="s">
        <v>14</v>
      </c>
      <c r="D479" s="23" t="s">
        <v>186</v>
      </c>
      <c r="E479" s="23">
        <v>2</v>
      </c>
      <c r="F479" s="23" t="s">
        <v>51</v>
      </c>
      <c r="G479" s="23" t="s">
        <v>156</v>
      </c>
      <c r="H479" s="23">
        <v>4</v>
      </c>
      <c r="I479" s="23">
        <v>25</v>
      </c>
      <c r="J479" s="23">
        <v>700</v>
      </c>
      <c r="K479" s="23">
        <v>3</v>
      </c>
      <c r="L479" s="23">
        <v>2</v>
      </c>
      <c r="M479" s="23" t="s">
        <v>160</v>
      </c>
      <c r="N479" s="23">
        <v>1</v>
      </c>
      <c r="O479" s="23" t="s">
        <v>190</v>
      </c>
      <c r="P479" s="23">
        <v>1</v>
      </c>
      <c r="S479" s="23"/>
    </row>
    <row r="480" spans="1:19">
      <c r="A480" s="23" t="s">
        <v>123</v>
      </c>
      <c r="B480" s="23" t="s">
        <v>65</v>
      </c>
      <c r="C480" s="23" t="s">
        <v>14</v>
      </c>
      <c r="D480" s="23" t="s">
        <v>186</v>
      </c>
      <c r="E480" s="23">
        <v>2</v>
      </c>
      <c r="F480" s="23" t="s">
        <v>51</v>
      </c>
      <c r="G480" s="23" t="s">
        <v>157</v>
      </c>
      <c r="H480" s="23">
        <v>5</v>
      </c>
      <c r="I480" s="23">
        <v>25</v>
      </c>
      <c r="J480" s="23">
        <v>700</v>
      </c>
      <c r="K480" s="23">
        <v>3</v>
      </c>
      <c r="L480" s="23">
        <v>2</v>
      </c>
      <c r="M480" s="23" t="s">
        <v>161</v>
      </c>
      <c r="N480" s="23">
        <v>1</v>
      </c>
      <c r="O480" s="23" t="s">
        <v>190</v>
      </c>
      <c r="P480" s="23">
        <v>1</v>
      </c>
      <c r="S480" s="26"/>
    </row>
    <row r="481" spans="1:19">
      <c r="A481" s="23" t="s">
        <v>123</v>
      </c>
      <c r="B481" s="23" t="s">
        <v>65</v>
      </c>
      <c r="C481" s="23" t="s">
        <v>14</v>
      </c>
      <c r="D481" s="23" t="s">
        <v>186</v>
      </c>
      <c r="E481" s="23">
        <v>2</v>
      </c>
      <c r="F481" s="23" t="s">
        <v>51</v>
      </c>
      <c r="G481" s="23" t="s">
        <v>158</v>
      </c>
      <c r="H481" s="23">
        <v>6</v>
      </c>
      <c r="I481" s="23">
        <v>25</v>
      </c>
      <c r="J481" s="23">
        <v>700</v>
      </c>
      <c r="K481" s="23">
        <v>3</v>
      </c>
      <c r="L481" s="23">
        <v>2</v>
      </c>
      <c r="M481" s="23" t="s">
        <v>160</v>
      </c>
      <c r="N481" s="23">
        <v>1</v>
      </c>
      <c r="O481" s="23" t="s">
        <v>190</v>
      </c>
      <c r="P481" s="23">
        <v>1</v>
      </c>
      <c r="R481" s="23">
        <v>0</v>
      </c>
      <c r="S481" s="26">
        <v>14.70328455771855</v>
      </c>
    </row>
    <row r="482" spans="1:19">
      <c r="A482" s="23" t="s">
        <v>123</v>
      </c>
      <c r="B482" s="23" t="s">
        <v>65</v>
      </c>
      <c r="C482" s="23" t="s">
        <v>21</v>
      </c>
      <c r="D482" s="23" t="s">
        <v>186</v>
      </c>
      <c r="E482" s="23">
        <v>3</v>
      </c>
      <c r="F482" s="23" t="s">
        <v>58</v>
      </c>
      <c r="G482" s="23" t="s">
        <v>156</v>
      </c>
      <c r="H482" s="23">
        <v>1</v>
      </c>
      <c r="I482" s="23">
        <v>25</v>
      </c>
      <c r="J482" s="23">
        <v>700</v>
      </c>
      <c r="K482" s="23">
        <v>3</v>
      </c>
      <c r="L482" s="23">
        <v>3</v>
      </c>
      <c r="M482" s="23" t="s">
        <v>161</v>
      </c>
      <c r="N482" s="23">
        <v>0</v>
      </c>
      <c r="P482" s="23">
        <v>0</v>
      </c>
      <c r="S482" s="23"/>
    </row>
    <row r="483" spans="1:19">
      <c r="A483" s="23" t="s">
        <v>123</v>
      </c>
      <c r="B483" s="23" t="s">
        <v>65</v>
      </c>
      <c r="C483" s="23" t="s">
        <v>21</v>
      </c>
      <c r="D483" s="23" t="s">
        <v>186</v>
      </c>
      <c r="E483" s="23">
        <v>3</v>
      </c>
      <c r="F483" s="23" t="s">
        <v>58</v>
      </c>
      <c r="G483" s="23" t="s">
        <v>157</v>
      </c>
      <c r="H483" s="23">
        <v>2</v>
      </c>
      <c r="I483" s="23">
        <v>25</v>
      </c>
      <c r="J483" s="23">
        <v>700</v>
      </c>
      <c r="K483" s="23">
        <v>3</v>
      </c>
      <c r="L483" s="23">
        <v>3</v>
      </c>
      <c r="M483" s="23" t="s">
        <v>160</v>
      </c>
      <c r="N483" s="23">
        <v>1</v>
      </c>
      <c r="O483" s="23" t="s">
        <v>190</v>
      </c>
      <c r="P483" s="23">
        <v>1</v>
      </c>
      <c r="Q483" s="23" t="s">
        <v>190</v>
      </c>
      <c r="S483" s="23"/>
    </row>
    <row r="484" spans="1:19">
      <c r="A484" s="23" t="s">
        <v>123</v>
      </c>
      <c r="B484" s="23" t="s">
        <v>65</v>
      </c>
      <c r="C484" s="23" t="s">
        <v>21</v>
      </c>
      <c r="D484" s="23" t="s">
        <v>186</v>
      </c>
      <c r="E484" s="23">
        <v>3</v>
      </c>
      <c r="F484" s="23" t="s">
        <v>58</v>
      </c>
      <c r="G484" s="23" t="s">
        <v>153</v>
      </c>
      <c r="H484" s="23">
        <v>3</v>
      </c>
      <c r="I484" s="23">
        <v>25</v>
      </c>
      <c r="J484" s="23">
        <v>700</v>
      </c>
      <c r="K484" s="23">
        <v>3</v>
      </c>
      <c r="L484" s="23">
        <v>3</v>
      </c>
      <c r="M484" s="23" t="s">
        <v>161</v>
      </c>
      <c r="N484" s="23">
        <v>1</v>
      </c>
      <c r="O484" s="23" t="s">
        <v>190</v>
      </c>
      <c r="P484" s="23">
        <v>1</v>
      </c>
      <c r="Q484" s="23" t="s">
        <v>190</v>
      </c>
      <c r="S484" s="23"/>
    </row>
    <row r="485" spans="1:19">
      <c r="A485" s="23" t="s">
        <v>123</v>
      </c>
      <c r="B485" s="23" t="s">
        <v>65</v>
      </c>
      <c r="C485" s="23" t="s">
        <v>21</v>
      </c>
      <c r="D485" s="23" t="s">
        <v>186</v>
      </c>
      <c r="E485" s="23">
        <v>3</v>
      </c>
      <c r="F485" s="23" t="s">
        <v>58</v>
      </c>
      <c r="G485" s="23" t="s">
        <v>158</v>
      </c>
      <c r="H485" s="23">
        <v>4</v>
      </c>
      <c r="I485" s="23">
        <v>25</v>
      </c>
      <c r="J485" s="23">
        <v>700</v>
      </c>
      <c r="K485" s="23">
        <v>3</v>
      </c>
      <c r="L485" s="23">
        <v>3</v>
      </c>
      <c r="M485" s="23" t="s">
        <v>161</v>
      </c>
      <c r="N485" s="23">
        <v>0</v>
      </c>
      <c r="P485" s="23">
        <v>0</v>
      </c>
      <c r="S485" s="23"/>
    </row>
    <row r="486" spans="1:19">
      <c r="A486" s="23" t="s">
        <v>123</v>
      </c>
      <c r="B486" s="23" t="s">
        <v>65</v>
      </c>
      <c r="C486" s="23" t="s">
        <v>21</v>
      </c>
      <c r="D486" s="23" t="s">
        <v>186</v>
      </c>
      <c r="E486" s="23">
        <v>3</v>
      </c>
      <c r="F486" s="23" t="s">
        <v>58</v>
      </c>
      <c r="G486" s="23" t="s">
        <v>155</v>
      </c>
      <c r="H486" s="23">
        <v>5</v>
      </c>
      <c r="I486" s="23">
        <v>25</v>
      </c>
      <c r="J486" s="23">
        <v>700</v>
      </c>
      <c r="K486" s="23">
        <v>3</v>
      </c>
      <c r="L486" s="23">
        <v>3</v>
      </c>
      <c r="M486" s="23" t="s">
        <v>160</v>
      </c>
      <c r="N486" s="23">
        <v>0</v>
      </c>
      <c r="P486" s="23">
        <v>0</v>
      </c>
      <c r="S486" s="26"/>
    </row>
    <row r="487" spans="1:19">
      <c r="A487" s="23" t="s">
        <v>123</v>
      </c>
      <c r="B487" s="23" t="s">
        <v>65</v>
      </c>
      <c r="C487" s="23" t="s">
        <v>21</v>
      </c>
      <c r="D487" s="23" t="s">
        <v>186</v>
      </c>
      <c r="E487" s="23">
        <v>3</v>
      </c>
      <c r="F487" s="23" t="s">
        <v>58</v>
      </c>
      <c r="G487" s="23" t="s">
        <v>154</v>
      </c>
      <c r="H487" s="23">
        <v>6</v>
      </c>
      <c r="I487" s="23">
        <v>25</v>
      </c>
      <c r="J487" s="23">
        <v>700</v>
      </c>
      <c r="K487" s="23">
        <v>3</v>
      </c>
      <c r="L487" s="23">
        <v>3</v>
      </c>
      <c r="M487" s="23" t="s">
        <v>160</v>
      </c>
      <c r="N487" s="23">
        <v>1</v>
      </c>
      <c r="O487" s="23" t="s">
        <v>190</v>
      </c>
      <c r="P487" s="23">
        <v>1</v>
      </c>
      <c r="Q487" s="23" t="s">
        <v>190</v>
      </c>
      <c r="R487" s="23">
        <v>0</v>
      </c>
      <c r="S487" s="26">
        <v>8.7854988501390867</v>
      </c>
    </row>
    <row r="488" spans="1:19">
      <c r="A488" s="23" t="s">
        <v>48</v>
      </c>
      <c r="B488" s="23" t="s">
        <v>65</v>
      </c>
      <c r="C488" s="23" t="s">
        <v>14</v>
      </c>
      <c r="D488" s="23" t="s">
        <v>177</v>
      </c>
      <c r="E488" s="23">
        <v>1</v>
      </c>
      <c r="F488" s="23" t="s">
        <v>50</v>
      </c>
      <c r="G488" s="23" t="s">
        <v>147</v>
      </c>
      <c r="H488" s="23">
        <v>1</v>
      </c>
      <c r="I488" s="23">
        <v>64</v>
      </c>
      <c r="J488" s="23">
        <v>30000</v>
      </c>
      <c r="K488" s="23">
        <v>47</v>
      </c>
      <c r="L488" s="23">
        <v>1</v>
      </c>
      <c r="M488" s="23" t="s">
        <v>160</v>
      </c>
      <c r="N488" s="23">
        <v>0</v>
      </c>
      <c r="P488" s="23">
        <v>0</v>
      </c>
      <c r="S488" s="23"/>
    </row>
    <row r="489" spans="1:19">
      <c r="A489" s="23" t="s">
        <v>48</v>
      </c>
      <c r="B489" s="23" t="s">
        <v>65</v>
      </c>
      <c r="C489" s="23" t="s">
        <v>14</v>
      </c>
      <c r="D489" s="23" t="s">
        <v>177</v>
      </c>
      <c r="E489" s="23">
        <v>1</v>
      </c>
      <c r="F489" s="23" t="s">
        <v>50</v>
      </c>
      <c r="G489" s="23" t="s">
        <v>148</v>
      </c>
      <c r="H489" s="23">
        <v>2</v>
      </c>
      <c r="I489" s="23">
        <v>64</v>
      </c>
      <c r="J489" s="23">
        <v>30000</v>
      </c>
      <c r="K489" s="23">
        <v>47</v>
      </c>
      <c r="L489" s="23">
        <v>1</v>
      </c>
      <c r="M489" s="23" t="s">
        <v>161</v>
      </c>
      <c r="N489" s="23">
        <v>0</v>
      </c>
      <c r="P489" s="23">
        <v>0</v>
      </c>
      <c r="S489" s="23"/>
    </row>
    <row r="490" spans="1:19">
      <c r="A490" s="23" t="s">
        <v>132</v>
      </c>
      <c r="B490" s="23" t="s">
        <v>65</v>
      </c>
      <c r="C490" s="23" t="s">
        <v>14</v>
      </c>
      <c r="D490" s="23" t="s">
        <v>176</v>
      </c>
      <c r="E490" s="23">
        <v>1</v>
      </c>
      <c r="F490" s="23" t="s">
        <v>50</v>
      </c>
      <c r="G490" s="23" t="s">
        <v>149</v>
      </c>
      <c r="H490" s="23">
        <v>3</v>
      </c>
      <c r="I490" s="23">
        <v>64</v>
      </c>
      <c r="J490" s="23">
        <v>30000</v>
      </c>
      <c r="K490" s="23">
        <v>47</v>
      </c>
      <c r="L490" s="23">
        <v>1</v>
      </c>
      <c r="M490" s="23" t="s">
        <v>160</v>
      </c>
      <c r="N490" s="23">
        <v>0</v>
      </c>
      <c r="P490" s="23">
        <v>0</v>
      </c>
      <c r="S490" s="23"/>
    </row>
    <row r="491" spans="1:19">
      <c r="A491" s="23" t="s">
        <v>132</v>
      </c>
      <c r="B491" s="23" t="s">
        <v>65</v>
      </c>
      <c r="C491" s="23" t="s">
        <v>14</v>
      </c>
      <c r="D491" s="23" t="s">
        <v>176</v>
      </c>
      <c r="E491" s="23">
        <v>1</v>
      </c>
      <c r="F491" s="23" t="s">
        <v>50</v>
      </c>
      <c r="G491" s="23" t="s">
        <v>150</v>
      </c>
      <c r="H491" s="23">
        <v>4</v>
      </c>
      <c r="I491" s="23">
        <v>64</v>
      </c>
      <c r="J491" s="23">
        <v>30000</v>
      </c>
      <c r="K491" s="23">
        <v>47</v>
      </c>
      <c r="L491" s="23">
        <v>1</v>
      </c>
      <c r="M491" s="23" t="s">
        <v>161</v>
      </c>
      <c r="N491" s="23">
        <v>0</v>
      </c>
      <c r="P491" s="23">
        <v>0</v>
      </c>
      <c r="S491" s="23"/>
    </row>
    <row r="492" spans="1:19">
      <c r="A492" s="23" t="s">
        <v>132</v>
      </c>
      <c r="B492" s="23" t="s">
        <v>65</v>
      </c>
      <c r="C492" s="23" t="s">
        <v>14</v>
      </c>
      <c r="D492" s="23" t="s">
        <v>176</v>
      </c>
      <c r="E492" s="23">
        <v>1</v>
      </c>
      <c r="F492" s="23" t="s">
        <v>50</v>
      </c>
      <c r="G492" s="23" t="s">
        <v>151</v>
      </c>
      <c r="H492" s="23">
        <v>5</v>
      </c>
      <c r="I492" s="23">
        <v>64</v>
      </c>
      <c r="J492" s="23">
        <v>30000</v>
      </c>
      <c r="K492" s="23">
        <v>47</v>
      </c>
      <c r="L492" s="23">
        <v>1</v>
      </c>
      <c r="M492" s="23" t="s">
        <v>161</v>
      </c>
      <c r="N492" s="23">
        <v>0</v>
      </c>
      <c r="P492" s="23">
        <v>0</v>
      </c>
      <c r="S492" s="23"/>
    </row>
    <row r="493" spans="1:19">
      <c r="A493" s="23" t="s">
        <v>132</v>
      </c>
      <c r="B493" s="23" t="s">
        <v>65</v>
      </c>
      <c r="C493" s="23" t="s">
        <v>14</v>
      </c>
      <c r="D493" s="23" t="s">
        <v>176</v>
      </c>
      <c r="E493" s="23">
        <v>1</v>
      </c>
      <c r="F493" s="23" t="s">
        <v>50</v>
      </c>
      <c r="G493" s="23" t="s">
        <v>152</v>
      </c>
      <c r="H493" s="23">
        <v>6</v>
      </c>
      <c r="I493" s="23">
        <v>64</v>
      </c>
      <c r="J493" s="23">
        <v>30000</v>
      </c>
      <c r="K493" s="23">
        <v>47</v>
      </c>
      <c r="L493" s="23">
        <v>1</v>
      </c>
      <c r="M493" s="23" t="s">
        <v>160</v>
      </c>
      <c r="N493" s="23">
        <v>1</v>
      </c>
      <c r="O493" s="23" t="s">
        <v>190</v>
      </c>
      <c r="P493" s="23">
        <v>1</v>
      </c>
      <c r="R493" s="23">
        <v>0</v>
      </c>
      <c r="S493" s="23">
        <v>7.0844400011225384</v>
      </c>
    </row>
    <row r="494" spans="1:19">
      <c r="A494" s="23" t="s">
        <v>132</v>
      </c>
      <c r="B494" s="23" t="s">
        <v>65</v>
      </c>
      <c r="C494" s="23" t="s">
        <v>22</v>
      </c>
      <c r="D494" s="23" t="s">
        <v>176</v>
      </c>
      <c r="E494" s="23">
        <v>2</v>
      </c>
      <c r="F494" s="23" t="s">
        <v>52</v>
      </c>
      <c r="G494" s="23" t="s">
        <v>153</v>
      </c>
      <c r="H494" s="23">
        <v>1</v>
      </c>
      <c r="I494" s="23">
        <v>64</v>
      </c>
      <c r="J494" s="23">
        <v>30000</v>
      </c>
      <c r="K494" s="23">
        <v>47</v>
      </c>
      <c r="L494" s="23">
        <v>2</v>
      </c>
      <c r="M494" s="23" t="s">
        <v>160</v>
      </c>
      <c r="N494" s="23">
        <v>1</v>
      </c>
      <c r="O494" s="23" t="s">
        <v>190</v>
      </c>
      <c r="P494" s="23">
        <v>1</v>
      </c>
      <c r="Q494" s="23" t="s">
        <v>190</v>
      </c>
      <c r="S494" s="23"/>
    </row>
    <row r="495" spans="1:19">
      <c r="A495" s="23" t="s">
        <v>132</v>
      </c>
      <c r="B495" s="23" t="s">
        <v>65</v>
      </c>
      <c r="C495" s="23" t="s">
        <v>22</v>
      </c>
      <c r="D495" s="23" t="s">
        <v>176</v>
      </c>
      <c r="E495" s="23">
        <v>2</v>
      </c>
      <c r="F495" s="23" t="s">
        <v>52</v>
      </c>
      <c r="G495" s="23" t="s">
        <v>154</v>
      </c>
      <c r="H495" s="23">
        <v>2</v>
      </c>
      <c r="I495" s="23">
        <v>64</v>
      </c>
      <c r="J495" s="23">
        <v>30000</v>
      </c>
      <c r="K495" s="23">
        <v>47</v>
      </c>
      <c r="L495" s="23">
        <v>2</v>
      </c>
      <c r="M495" s="23" t="s">
        <v>161</v>
      </c>
      <c r="N495" s="23">
        <v>0</v>
      </c>
      <c r="P495" s="23">
        <v>0</v>
      </c>
      <c r="S495" s="23"/>
    </row>
    <row r="496" spans="1:19">
      <c r="A496" s="23" t="s">
        <v>132</v>
      </c>
      <c r="B496" s="23" t="s">
        <v>65</v>
      </c>
      <c r="C496" s="23" t="s">
        <v>22</v>
      </c>
      <c r="D496" s="23" t="s">
        <v>176</v>
      </c>
      <c r="E496" s="23">
        <v>2</v>
      </c>
      <c r="F496" s="23" t="s">
        <v>51</v>
      </c>
      <c r="G496" s="23" t="s">
        <v>155</v>
      </c>
      <c r="H496" s="23">
        <v>3</v>
      </c>
      <c r="I496" s="23">
        <v>64</v>
      </c>
      <c r="J496" s="23">
        <v>30000</v>
      </c>
      <c r="K496" s="23">
        <v>47</v>
      </c>
      <c r="L496" s="23">
        <v>2</v>
      </c>
      <c r="M496" s="23" t="s">
        <v>161</v>
      </c>
      <c r="N496" s="23">
        <v>0</v>
      </c>
      <c r="P496" s="23">
        <v>0</v>
      </c>
      <c r="S496" s="23"/>
    </row>
    <row r="497" spans="1:19">
      <c r="A497" s="23" t="s">
        <v>132</v>
      </c>
      <c r="B497" s="23" t="s">
        <v>65</v>
      </c>
      <c r="C497" s="23" t="s">
        <v>22</v>
      </c>
      <c r="D497" s="23" t="s">
        <v>176</v>
      </c>
      <c r="E497" s="23">
        <v>2</v>
      </c>
      <c r="F497" s="23" t="s">
        <v>51</v>
      </c>
      <c r="G497" s="23" t="s">
        <v>156</v>
      </c>
      <c r="H497" s="23">
        <v>4</v>
      </c>
      <c r="I497" s="23">
        <v>64</v>
      </c>
      <c r="J497" s="23">
        <v>30000</v>
      </c>
      <c r="K497" s="23">
        <v>47</v>
      </c>
      <c r="L497" s="23">
        <v>2</v>
      </c>
      <c r="M497" s="23" t="s">
        <v>160</v>
      </c>
      <c r="N497" s="23">
        <v>0</v>
      </c>
      <c r="P497" s="23">
        <v>0</v>
      </c>
      <c r="S497" s="23"/>
    </row>
    <row r="498" spans="1:19">
      <c r="A498" s="23" t="s">
        <v>132</v>
      </c>
      <c r="B498" s="23" t="s">
        <v>65</v>
      </c>
      <c r="C498" s="23" t="s">
        <v>22</v>
      </c>
      <c r="D498" s="23" t="s">
        <v>176</v>
      </c>
      <c r="E498" s="23">
        <v>2</v>
      </c>
      <c r="F498" s="23" t="s">
        <v>51</v>
      </c>
      <c r="G498" s="23" t="s">
        <v>157</v>
      </c>
      <c r="H498" s="23">
        <v>5</v>
      </c>
      <c r="I498" s="23">
        <v>64</v>
      </c>
      <c r="J498" s="23">
        <v>30000</v>
      </c>
      <c r="K498" s="23">
        <v>47</v>
      </c>
      <c r="L498" s="23">
        <v>2</v>
      </c>
      <c r="M498" s="23" t="s">
        <v>161</v>
      </c>
      <c r="N498" s="23">
        <v>0</v>
      </c>
      <c r="P498" s="23">
        <v>0</v>
      </c>
      <c r="S498" s="26"/>
    </row>
    <row r="499" spans="1:19">
      <c r="A499" s="23" t="s">
        <v>132</v>
      </c>
      <c r="B499" s="23" t="s">
        <v>65</v>
      </c>
      <c r="C499" s="23" t="s">
        <v>22</v>
      </c>
      <c r="D499" s="23" t="s">
        <v>176</v>
      </c>
      <c r="E499" s="23">
        <v>2</v>
      </c>
      <c r="F499" s="23" t="s">
        <v>51</v>
      </c>
      <c r="G499" s="23" t="s">
        <v>158</v>
      </c>
      <c r="H499" s="23">
        <v>6</v>
      </c>
      <c r="I499" s="23">
        <v>64</v>
      </c>
      <c r="J499" s="23">
        <v>30000</v>
      </c>
      <c r="K499" s="23">
        <v>47</v>
      </c>
      <c r="L499" s="23">
        <v>2</v>
      </c>
      <c r="M499" s="23" t="s">
        <v>160</v>
      </c>
      <c r="N499" s="23">
        <v>1</v>
      </c>
      <c r="O499" s="23" t="s">
        <v>190</v>
      </c>
      <c r="P499" s="23">
        <v>1</v>
      </c>
      <c r="Q499" s="23" t="s">
        <v>190</v>
      </c>
      <c r="R499" s="23">
        <v>0</v>
      </c>
      <c r="S499" s="26">
        <v>14.137296465615638</v>
      </c>
    </row>
    <row r="500" spans="1:19">
      <c r="A500" s="23" t="s">
        <v>132</v>
      </c>
      <c r="B500" s="23" t="s">
        <v>65</v>
      </c>
      <c r="C500" s="23" t="s">
        <v>21</v>
      </c>
      <c r="D500" s="23" t="s">
        <v>176</v>
      </c>
      <c r="E500" s="23">
        <v>3</v>
      </c>
      <c r="F500" s="23" t="s">
        <v>58</v>
      </c>
      <c r="G500" s="23" t="s">
        <v>156</v>
      </c>
      <c r="H500" s="23">
        <v>1</v>
      </c>
      <c r="I500" s="23">
        <v>64</v>
      </c>
      <c r="J500" s="23">
        <v>30000</v>
      </c>
      <c r="K500" s="23">
        <v>47</v>
      </c>
      <c r="L500" s="23">
        <v>3</v>
      </c>
      <c r="M500" s="23" t="s">
        <v>161</v>
      </c>
      <c r="N500" s="23">
        <v>1</v>
      </c>
      <c r="O500" s="23" t="s">
        <v>190</v>
      </c>
      <c r="P500" s="23">
        <v>1</v>
      </c>
      <c r="Q500" s="23" t="s">
        <v>190</v>
      </c>
      <c r="S500" s="23"/>
    </row>
    <row r="501" spans="1:19">
      <c r="A501" s="23" t="s">
        <v>132</v>
      </c>
      <c r="B501" s="23" t="s">
        <v>65</v>
      </c>
      <c r="C501" s="23" t="s">
        <v>21</v>
      </c>
      <c r="D501" s="23" t="s">
        <v>176</v>
      </c>
      <c r="E501" s="23">
        <v>3</v>
      </c>
      <c r="F501" s="23" t="s">
        <v>58</v>
      </c>
      <c r="G501" s="23" t="s">
        <v>157</v>
      </c>
      <c r="H501" s="23">
        <v>2</v>
      </c>
      <c r="I501" s="23">
        <v>64</v>
      </c>
      <c r="J501" s="23">
        <v>30000</v>
      </c>
      <c r="K501" s="23">
        <v>47</v>
      </c>
      <c r="L501" s="23">
        <v>3</v>
      </c>
      <c r="M501" s="23" t="s">
        <v>160</v>
      </c>
      <c r="N501" s="23">
        <v>1</v>
      </c>
      <c r="O501" s="23" t="s">
        <v>190</v>
      </c>
      <c r="P501" s="23">
        <v>1</v>
      </c>
      <c r="Q501" s="23" t="s">
        <v>190</v>
      </c>
      <c r="S501" s="23"/>
    </row>
    <row r="502" spans="1:19">
      <c r="A502" s="23" t="s">
        <v>132</v>
      </c>
      <c r="B502" s="23" t="s">
        <v>65</v>
      </c>
      <c r="C502" s="23" t="s">
        <v>21</v>
      </c>
      <c r="D502" s="23" t="s">
        <v>176</v>
      </c>
      <c r="E502" s="23">
        <v>3</v>
      </c>
      <c r="F502" s="23" t="s">
        <v>58</v>
      </c>
      <c r="G502" s="23" t="s">
        <v>153</v>
      </c>
      <c r="H502" s="23">
        <v>3</v>
      </c>
      <c r="I502" s="23">
        <v>64</v>
      </c>
      <c r="J502" s="23">
        <v>30000</v>
      </c>
      <c r="K502" s="23">
        <v>47</v>
      </c>
      <c r="L502" s="23">
        <v>3</v>
      </c>
      <c r="M502" s="23" t="s">
        <v>161</v>
      </c>
      <c r="N502" s="23">
        <v>1</v>
      </c>
      <c r="O502" s="23" t="s">
        <v>190</v>
      </c>
      <c r="P502" s="23">
        <v>1</v>
      </c>
      <c r="Q502" s="23" t="s">
        <v>190</v>
      </c>
      <c r="S502" s="23"/>
    </row>
    <row r="503" spans="1:19">
      <c r="A503" s="23" t="s">
        <v>132</v>
      </c>
      <c r="B503" s="23" t="s">
        <v>65</v>
      </c>
      <c r="C503" s="23" t="s">
        <v>21</v>
      </c>
      <c r="D503" s="23" t="s">
        <v>176</v>
      </c>
      <c r="E503" s="23">
        <v>3</v>
      </c>
      <c r="F503" s="23" t="s">
        <v>58</v>
      </c>
      <c r="G503" s="23" t="s">
        <v>158</v>
      </c>
      <c r="H503" s="23">
        <v>4</v>
      </c>
      <c r="I503" s="23">
        <v>64</v>
      </c>
      <c r="J503" s="23">
        <v>30000</v>
      </c>
      <c r="K503" s="23">
        <v>47</v>
      </c>
      <c r="L503" s="23">
        <v>3</v>
      </c>
      <c r="M503" s="23" t="s">
        <v>161</v>
      </c>
      <c r="N503" s="23">
        <v>1</v>
      </c>
      <c r="O503" s="23" t="s">
        <v>190</v>
      </c>
      <c r="P503" s="23">
        <v>1</v>
      </c>
      <c r="Q503" s="23" t="s">
        <v>190</v>
      </c>
      <c r="S503" s="23"/>
    </row>
    <row r="504" spans="1:19">
      <c r="A504" s="23" t="s">
        <v>132</v>
      </c>
      <c r="B504" s="23" t="s">
        <v>65</v>
      </c>
      <c r="C504" s="23" t="s">
        <v>21</v>
      </c>
      <c r="D504" s="23" t="s">
        <v>176</v>
      </c>
      <c r="E504" s="23">
        <v>3</v>
      </c>
      <c r="F504" s="23" t="s">
        <v>58</v>
      </c>
      <c r="G504" s="23" t="s">
        <v>155</v>
      </c>
      <c r="H504" s="23">
        <v>5</v>
      </c>
      <c r="I504" s="23">
        <v>64</v>
      </c>
      <c r="J504" s="23">
        <v>30000</v>
      </c>
      <c r="K504" s="23">
        <v>47</v>
      </c>
      <c r="L504" s="23">
        <v>3</v>
      </c>
      <c r="M504" s="23" t="s">
        <v>160</v>
      </c>
      <c r="N504" s="23">
        <v>1</v>
      </c>
      <c r="O504" s="23" t="s">
        <v>190</v>
      </c>
      <c r="P504" s="23">
        <v>1</v>
      </c>
      <c r="Q504" s="23" t="s">
        <v>190</v>
      </c>
      <c r="S504" s="26"/>
    </row>
    <row r="505" spans="1:19">
      <c r="A505" s="23" t="s">
        <v>132</v>
      </c>
      <c r="B505" s="23" t="s">
        <v>65</v>
      </c>
      <c r="C505" s="23" t="s">
        <v>21</v>
      </c>
      <c r="D505" s="23" t="s">
        <v>176</v>
      </c>
      <c r="E505" s="23">
        <v>3</v>
      </c>
      <c r="F505" s="23" t="s">
        <v>58</v>
      </c>
      <c r="G505" s="23" t="s">
        <v>154</v>
      </c>
      <c r="H505" s="23">
        <v>6</v>
      </c>
      <c r="I505" s="23">
        <v>64</v>
      </c>
      <c r="J505" s="23">
        <v>30000</v>
      </c>
      <c r="K505" s="23">
        <v>47</v>
      </c>
      <c r="L505" s="23">
        <v>3</v>
      </c>
      <c r="M505" s="23" t="s">
        <v>160</v>
      </c>
      <c r="N505" s="23">
        <v>1</v>
      </c>
      <c r="O505" s="23" t="s">
        <v>190</v>
      </c>
      <c r="P505" s="23">
        <v>1</v>
      </c>
      <c r="Q505" s="23" t="s">
        <v>190</v>
      </c>
      <c r="R505" s="23">
        <v>0</v>
      </c>
      <c r="S505" s="26">
        <v>8.5885536666750664</v>
      </c>
    </row>
    <row r="506" spans="1:19">
      <c r="A506" s="23" t="s">
        <v>49</v>
      </c>
      <c r="B506" s="23" t="s">
        <v>65</v>
      </c>
      <c r="C506" s="23" t="s">
        <v>22</v>
      </c>
      <c r="D506" s="23" t="s">
        <v>179</v>
      </c>
      <c r="E506" s="23">
        <v>1</v>
      </c>
      <c r="F506" s="23" t="s">
        <v>50</v>
      </c>
      <c r="G506" s="23" t="s">
        <v>147</v>
      </c>
      <c r="H506" s="23">
        <v>1</v>
      </c>
      <c r="I506" s="60">
        <v>30</v>
      </c>
      <c r="J506" s="23">
        <v>10000</v>
      </c>
      <c r="K506" s="23">
        <v>12</v>
      </c>
      <c r="L506" s="23">
        <v>1</v>
      </c>
      <c r="M506" s="23" t="s">
        <v>160</v>
      </c>
      <c r="N506" s="23">
        <v>0</v>
      </c>
      <c r="P506" s="23">
        <v>0</v>
      </c>
      <c r="S506" s="23"/>
    </row>
    <row r="507" spans="1:19">
      <c r="A507" s="23" t="s">
        <v>49</v>
      </c>
      <c r="B507" s="23" t="s">
        <v>65</v>
      </c>
      <c r="C507" s="23" t="s">
        <v>22</v>
      </c>
      <c r="D507" s="23" t="s">
        <v>179</v>
      </c>
      <c r="E507" s="23">
        <v>1</v>
      </c>
      <c r="F507" s="23" t="s">
        <v>50</v>
      </c>
      <c r="G507" s="23" t="s">
        <v>148</v>
      </c>
      <c r="H507" s="23">
        <v>2</v>
      </c>
      <c r="I507" s="60">
        <v>30</v>
      </c>
      <c r="J507" s="23">
        <v>10000</v>
      </c>
      <c r="K507" s="23">
        <v>12</v>
      </c>
      <c r="L507" s="23">
        <v>1</v>
      </c>
      <c r="M507" s="23" t="s">
        <v>161</v>
      </c>
      <c r="N507" s="23">
        <v>0</v>
      </c>
      <c r="P507" s="23">
        <v>0</v>
      </c>
      <c r="S507" s="23"/>
    </row>
    <row r="508" spans="1:19">
      <c r="A508" s="23" t="s">
        <v>131</v>
      </c>
      <c r="B508" s="23" t="s">
        <v>65</v>
      </c>
      <c r="C508" s="23" t="s">
        <v>22</v>
      </c>
      <c r="D508" s="23" t="s">
        <v>178</v>
      </c>
      <c r="E508" s="23">
        <v>1</v>
      </c>
      <c r="F508" s="23" t="s">
        <v>50</v>
      </c>
      <c r="G508" s="23" t="s">
        <v>149</v>
      </c>
      <c r="H508" s="23">
        <v>3</v>
      </c>
      <c r="I508" s="60">
        <v>30</v>
      </c>
      <c r="J508" s="23">
        <v>10000</v>
      </c>
      <c r="K508" s="23">
        <v>12</v>
      </c>
      <c r="L508" s="23">
        <v>1</v>
      </c>
      <c r="M508" s="23" t="s">
        <v>160</v>
      </c>
      <c r="N508" s="23">
        <v>0</v>
      </c>
      <c r="P508" s="23">
        <v>0</v>
      </c>
      <c r="S508" s="23"/>
    </row>
    <row r="509" spans="1:19">
      <c r="A509" s="23" t="s">
        <v>131</v>
      </c>
      <c r="B509" s="23" t="s">
        <v>65</v>
      </c>
      <c r="C509" s="23" t="s">
        <v>22</v>
      </c>
      <c r="D509" s="23" t="s">
        <v>178</v>
      </c>
      <c r="E509" s="23">
        <v>1</v>
      </c>
      <c r="F509" s="23" t="s">
        <v>50</v>
      </c>
      <c r="G509" s="23" t="s">
        <v>150</v>
      </c>
      <c r="H509" s="23">
        <v>4</v>
      </c>
      <c r="I509" s="60">
        <v>30</v>
      </c>
      <c r="J509" s="23">
        <v>10000</v>
      </c>
      <c r="K509" s="23">
        <v>12</v>
      </c>
      <c r="L509" s="23">
        <v>1</v>
      </c>
      <c r="M509" s="23" t="s">
        <v>161</v>
      </c>
      <c r="N509" s="23">
        <v>0</v>
      </c>
      <c r="P509" s="23">
        <v>0</v>
      </c>
      <c r="S509" s="23"/>
    </row>
    <row r="510" spans="1:19">
      <c r="A510" s="23" t="s">
        <v>131</v>
      </c>
      <c r="B510" s="23" t="s">
        <v>65</v>
      </c>
      <c r="C510" s="23" t="s">
        <v>22</v>
      </c>
      <c r="D510" s="23" t="s">
        <v>178</v>
      </c>
      <c r="E510" s="23">
        <v>1</v>
      </c>
      <c r="F510" s="23" t="s">
        <v>50</v>
      </c>
      <c r="G510" s="23" t="s">
        <v>151</v>
      </c>
      <c r="H510" s="23">
        <v>5</v>
      </c>
      <c r="I510" s="60">
        <v>30</v>
      </c>
      <c r="J510" s="23">
        <v>10000</v>
      </c>
      <c r="K510" s="23">
        <v>12</v>
      </c>
      <c r="L510" s="23">
        <v>1</v>
      </c>
      <c r="M510" s="23" t="s">
        <v>161</v>
      </c>
      <c r="N510" s="23">
        <v>0</v>
      </c>
      <c r="P510" s="23">
        <v>0</v>
      </c>
      <c r="S510" s="23"/>
    </row>
    <row r="511" spans="1:19">
      <c r="A511" s="23" t="s">
        <v>131</v>
      </c>
      <c r="B511" s="23" t="s">
        <v>65</v>
      </c>
      <c r="C511" s="23" t="s">
        <v>22</v>
      </c>
      <c r="D511" s="23" t="s">
        <v>178</v>
      </c>
      <c r="E511" s="23">
        <v>1</v>
      </c>
      <c r="F511" s="23" t="s">
        <v>50</v>
      </c>
      <c r="G511" s="23" t="s">
        <v>152</v>
      </c>
      <c r="H511" s="23">
        <v>6</v>
      </c>
      <c r="I511" s="60">
        <v>30</v>
      </c>
      <c r="J511" s="23">
        <v>10000</v>
      </c>
      <c r="K511" s="23">
        <v>12</v>
      </c>
      <c r="L511" s="23">
        <v>1</v>
      </c>
      <c r="M511" s="23" t="s">
        <v>160</v>
      </c>
      <c r="N511" s="23">
        <v>1</v>
      </c>
      <c r="O511" s="23" t="s">
        <v>190</v>
      </c>
      <c r="P511" s="23">
        <v>1</v>
      </c>
      <c r="Q511" s="23" t="s">
        <v>190</v>
      </c>
      <c r="R511" s="23">
        <v>0</v>
      </c>
      <c r="S511" s="23">
        <v>5.5470553506168532</v>
      </c>
    </row>
    <row r="512" spans="1:19">
      <c r="A512" s="23" t="s">
        <v>131</v>
      </c>
      <c r="B512" s="23" t="s">
        <v>65</v>
      </c>
      <c r="C512" s="23" t="s">
        <v>21</v>
      </c>
      <c r="D512" s="23" t="s">
        <v>178</v>
      </c>
      <c r="E512" s="23">
        <v>2</v>
      </c>
      <c r="F512" s="23" t="s">
        <v>52</v>
      </c>
      <c r="G512" s="23" t="s">
        <v>153</v>
      </c>
      <c r="H512" s="23">
        <v>1</v>
      </c>
      <c r="I512" s="60">
        <v>30</v>
      </c>
      <c r="J512" s="23">
        <v>10000</v>
      </c>
      <c r="K512" s="23">
        <v>12</v>
      </c>
      <c r="L512" s="23">
        <v>2</v>
      </c>
      <c r="M512" s="23" t="s">
        <v>160</v>
      </c>
      <c r="N512" s="23">
        <v>0</v>
      </c>
      <c r="P512" s="23">
        <v>0</v>
      </c>
      <c r="S512" s="23"/>
    </row>
    <row r="513" spans="1:19">
      <c r="A513" s="23" t="s">
        <v>131</v>
      </c>
      <c r="B513" s="23" t="s">
        <v>65</v>
      </c>
      <c r="C513" s="23" t="s">
        <v>21</v>
      </c>
      <c r="D513" s="23" t="s">
        <v>178</v>
      </c>
      <c r="E513" s="23">
        <v>2</v>
      </c>
      <c r="F513" s="23" t="s">
        <v>52</v>
      </c>
      <c r="G513" s="23" t="s">
        <v>154</v>
      </c>
      <c r="H513" s="23">
        <v>2</v>
      </c>
      <c r="I513" s="60">
        <v>30</v>
      </c>
      <c r="J513" s="23">
        <v>10000</v>
      </c>
      <c r="K513" s="23">
        <v>12</v>
      </c>
      <c r="L513" s="23">
        <v>2</v>
      </c>
      <c r="M513" s="23" t="s">
        <v>161</v>
      </c>
      <c r="N513" s="23">
        <v>0</v>
      </c>
      <c r="P513" s="23">
        <v>0</v>
      </c>
      <c r="S513" s="23"/>
    </row>
    <row r="514" spans="1:19">
      <c r="A514" s="23" t="s">
        <v>131</v>
      </c>
      <c r="B514" s="23" t="s">
        <v>65</v>
      </c>
      <c r="C514" s="23" t="s">
        <v>21</v>
      </c>
      <c r="D514" s="23" t="s">
        <v>178</v>
      </c>
      <c r="E514" s="23">
        <v>2</v>
      </c>
      <c r="F514" s="23" t="s">
        <v>51</v>
      </c>
      <c r="G514" s="23" t="s">
        <v>155</v>
      </c>
      <c r="H514" s="23">
        <v>3</v>
      </c>
      <c r="I514" s="60">
        <v>30</v>
      </c>
      <c r="J514" s="23">
        <v>10000</v>
      </c>
      <c r="K514" s="23">
        <v>12</v>
      </c>
      <c r="L514" s="23">
        <v>2</v>
      </c>
      <c r="M514" s="23" t="s">
        <v>161</v>
      </c>
      <c r="N514" s="23">
        <v>0</v>
      </c>
      <c r="P514" s="23">
        <v>0</v>
      </c>
      <c r="S514" s="23"/>
    </row>
    <row r="515" spans="1:19">
      <c r="A515" s="23" t="s">
        <v>131</v>
      </c>
      <c r="B515" s="23" t="s">
        <v>65</v>
      </c>
      <c r="C515" s="23" t="s">
        <v>21</v>
      </c>
      <c r="D515" s="23" t="s">
        <v>178</v>
      </c>
      <c r="E515" s="23">
        <v>2</v>
      </c>
      <c r="F515" s="23" t="s">
        <v>51</v>
      </c>
      <c r="G515" s="23" t="s">
        <v>156</v>
      </c>
      <c r="H515" s="23">
        <v>4</v>
      </c>
      <c r="I515" s="60">
        <v>30</v>
      </c>
      <c r="J515" s="23">
        <v>10000</v>
      </c>
      <c r="K515" s="23">
        <v>12</v>
      </c>
      <c r="L515" s="23">
        <v>2</v>
      </c>
      <c r="M515" s="23" t="s">
        <v>160</v>
      </c>
      <c r="N515" s="23">
        <v>1</v>
      </c>
      <c r="O515" s="23" t="s">
        <v>190</v>
      </c>
      <c r="P515" s="23">
        <v>1</v>
      </c>
      <c r="Q515" s="23" t="s">
        <v>190</v>
      </c>
      <c r="S515" s="23"/>
    </row>
    <row r="516" spans="1:19">
      <c r="A516" s="23" t="s">
        <v>131</v>
      </c>
      <c r="B516" s="23" t="s">
        <v>65</v>
      </c>
      <c r="C516" s="23" t="s">
        <v>21</v>
      </c>
      <c r="D516" s="23" t="s">
        <v>178</v>
      </c>
      <c r="E516" s="23">
        <v>2</v>
      </c>
      <c r="F516" s="23" t="s">
        <v>51</v>
      </c>
      <c r="G516" s="23" t="s">
        <v>157</v>
      </c>
      <c r="H516" s="23">
        <v>5</v>
      </c>
      <c r="I516" s="60">
        <v>30</v>
      </c>
      <c r="J516" s="23">
        <v>10000</v>
      </c>
      <c r="K516" s="23">
        <v>12</v>
      </c>
      <c r="L516" s="23">
        <v>2</v>
      </c>
      <c r="M516" s="23" t="s">
        <v>161</v>
      </c>
      <c r="N516" s="23">
        <v>0</v>
      </c>
      <c r="P516" s="23">
        <v>0</v>
      </c>
      <c r="S516" s="26"/>
    </row>
    <row r="517" spans="1:19">
      <c r="A517" s="23" t="s">
        <v>131</v>
      </c>
      <c r="B517" s="23" t="s">
        <v>65</v>
      </c>
      <c r="C517" s="23" t="s">
        <v>21</v>
      </c>
      <c r="D517" s="23" t="s">
        <v>178</v>
      </c>
      <c r="E517" s="23">
        <v>2</v>
      </c>
      <c r="F517" s="23" t="s">
        <v>51</v>
      </c>
      <c r="G517" s="23" t="s">
        <v>158</v>
      </c>
      <c r="H517" s="23">
        <v>6</v>
      </c>
      <c r="I517" s="60">
        <v>30</v>
      </c>
      <c r="J517" s="23">
        <v>10000</v>
      </c>
      <c r="K517" s="23">
        <v>12</v>
      </c>
      <c r="L517" s="23">
        <v>2</v>
      </c>
      <c r="M517" s="23" t="s">
        <v>160</v>
      </c>
      <c r="N517" s="23">
        <v>1</v>
      </c>
      <c r="O517" s="23" t="s">
        <v>190</v>
      </c>
      <c r="P517" s="23">
        <v>1</v>
      </c>
      <c r="Q517" s="23" t="s">
        <v>190</v>
      </c>
      <c r="R517" s="23">
        <v>0</v>
      </c>
      <c r="S517" s="26">
        <v>5.4059350860404827</v>
      </c>
    </row>
    <row r="518" spans="1:19">
      <c r="A518" s="23" t="s">
        <v>131</v>
      </c>
      <c r="B518" s="23" t="s">
        <v>65</v>
      </c>
      <c r="C518" s="23" t="s">
        <v>14</v>
      </c>
      <c r="D518" s="23" t="s">
        <v>178</v>
      </c>
      <c r="E518" s="23">
        <v>3</v>
      </c>
      <c r="F518" s="23" t="s">
        <v>58</v>
      </c>
      <c r="G518" s="23" t="s">
        <v>156</v>
      </c>
      <c r="H518" s="23">
        <v>1</v>
      </c>
      <c r="I518" s="60">
        <v>30</v>
      </c>
      <c r="J518" s="23">
        <v>10000</v>
      </c>
      <c r="K518" s="23">
        <v>12</v>
      </c>
      <c r="L518" s="23">
        <v>3</v>
      </c>
      <c r="M518" s="23" t="s">
        <v>161</v>
      </c>
      <c r="N518" s="23">
        <v>0</v>
      </c>
      <c r="P518" s="23">
        <v>0</v>
      </c>
      <c r="S518" s="23"/>
    </row>
    <row r="519" spans="1:19">
      <c r="A519" s="23" t="s">
        <v>131</v>
      </c>
      <c r="B519" s="23" t="s">
        <v>65</v>
      </c>
      <c r="C519" s="23" t="s">
        <v>14</v>
      </c>
      <c r="D519" s="23" t="s">
        <v>178</v>
      </c>
      <c r="E519" s="23">
        <v>3</v>
      </c>
      <c r="F519" s="23" t="s">
        <v>58</v>
      </c>
      <c r="G519" s="23" t="s">
        <v>157</v>
      </c>
      <c r="H519" s="23">
        <v>2</v>
      </c>
      <c r="I519" s="60">
        <v>30</v>
      </c>
      <c r="J519" s="23">
        <v>10000</v>
      </c>
      <c r="K519" s="23">
        <v>12</v>
      </c>
      <c r="L519" s="23">
        <v>3</v>
      </c>
      <c r="M519" s="23" t="s">
        <v>160</v>
      </c>
      <c r="N519" s="23">
        <v>0</v>
      </c>
      <c r="P519" s="23">
        <v>0</v>
      </c>
      <c r="S519" s="23"/>
    </row>
    <row r="520" spans="1:19">
      <c r="A520" s="23" t="s">
        <v>131</v>
      </c>
      <c r="B520" s="23" t="s">
        <v>65</v>
      </c>
      <c r="C520" s="23" t="s">
        <v>14</v>
      </c>
      <c r="D520" s="23" t="s">
        <v>178</v>
      </c>
      <c r="E520" s="23">
        <v>3</v>
      </c>
      <c r="F520" s="23" t="s">
        <v>58</v>
      </c>
      <c r="G520" s="23" t="s">
        <v>153</v>
      </c>
      <c r="H520" s="23">
        <v>3</v>
      </c>
      <c r="I520" s="60">
        <v>30</v>
      </c>
      <c r="J520" s="23">
        <v>10000</v>
      </c>
      <c r="K520" s="23">
        <v>12</v>
      </c>
      <c r="L520" s="23">
        <v>3</v>
      </c>
      <c r="M520" s="23" t="s">
        <v>161</v>
      </c>
      <c r="N520" s="23">
        <v>0</v>
      </c>
      <c r="P520" s="23">
        <v>0</v>
      </c>
      <c r="S520" s="23"/>
    </row>
    <row r="521" spans="1:19">
      <c r="A521" s="23" t="s">
        <v>131</v>
      </c>
      <c r="B521" s="23" t="s">
        <v>65</v>
      </c>
      <c r="C521" s="23" t="s">
        <v>14</v>
      </c>
      <c r="D521" s="23" t="s">
        <v>178</v>
      </c>
      <c r="E521" s="23">
        <v>3</v>
      </c>
      <c r="F521" s="23" t="s">
        <v>58</v>
      </c>
      <c r="G521" s="23" t="s">
        <v>158</v>
      </c>
      <c r="H521" s="23">
        <v>4</v>
      </c>
      <c r="I521" s="60">
        <v>30</v>
      </c>
      <c r="J521" s="23">
        <v>10000</v>
      </c>
      <c r="K521" s="23">
        <v>12</v>
      </c>
      <c r="L521" s="23">
        <v>3</v>
      </c>
      <c r="M521" s="23" t="s">
        <v>161</v>
      </c>
      <c r="N521" s="23">
        <v>0</v>
      </c>
      <c r="P521" s="23">
        <v>0</v>
      </c>
      <c r="S521" s="23"/>
    </row>
    <row r="522" spans="1:19">
      <c r="A522" s="23" t="s">
        <v>131</v>
      </c>
      <c r="B522" s="23" t="s">
        <v>65</v>
      </c>
      <c r="C522" s="23" t="s">
        <v>14</v>
      </c>
      <c r="D522" s="23" t="s">
        <v>178</v>
      </c>
      <c r="E522" s="23">
        <v>3</v>
      </c>
      <c r="F522" s="23" t="s">
        <v>58</v>
      </c>
      <c r="G522" s="23" t="s">
        <v>155</v>
      </c>
      <c r="H522" s="23">
        <v>5</v>
      </c>
      <c r="I522" s="60">
        <v>30</v>
      </c>
      <c r="J522" s="23">
        <v>10000</v>
      </c>
      <c r="K522" s="23">
        <v>12</v>
      </c>
      <c r="L522" s="23">
        <v>3</v>
      </c>
      <c r="M522" s="23" t="s">
        <v>160</v>
      </c>
      <c r="N522" s="23">
        <v>0</v>
      </c>
      <c r="P522" s="23">
        <v>0</v>
      </c>
      <c r="S522" s="26"/>
    </row>
    <row r="523" spans="1:19">
      <c r="A523" s="23" t="s">
        <v>131</v>
      </c>
      <c r="B523" s="23" t="s">
        <v>65</v>
      </c>
      <c r="C523" s="23" t="s">
        <v>14</v>
      </c>
      <c r="D523" s="23" t="s">
        <v>178</v>
      </c>
      <c r="E523" s="23">
        <v>3</v>
      </c>
      <c r="F523" s="23" t="s">
        <v>58</v>
      </c>
      <c r="G523" s="23" t="s">
        <v>154</v>
      </c>
      <c r="H523" s="23">
        <v>6</v>
      </c>
      <c r="I523" s="60">
        <v>30</v>
      </c>
      <c r="J523" s="23">
        <v>10000</v>
      </c>
      <c r="K523" s="23">
        <v>12</v>
      </c>
      <c r="L523" s="23">
        <v>3</v>
      </c>
      <c r="M523" s="23" t="s">
        <v>160</v>
      </c>
      <c r="N523" s="23">
        <v>1</v>
      </c>
      <c r="O523" s="23" t="s">
        <v>190</v>
      </c>
      <c r="P523" s="23">
        <v>1</v>
      </c>
      <c r="R523" s="23">
        <v>0</v>
      </c>
      <c r="S523" s="26">
        <v>5.5775555986256258</v>
      </c>
    </row>
    <row r="524" spans="1:19">
      <c r="A524" s="23" t="s">
        <v>59</v>
      </c>
      <c r="B524" s="23" t="s">
        <v>65</v>
      </c>
      <c r="C524" s="23" t="s">
        <v>21</v>
      </c>
      <c r="D524" s="23" t="s">
        <v>181</v>
      </c>
      <c r="E524" s="23">
        <v>1</v>
      </c>
      <c r="F524" s="23" t="s">
        <v>50</v>
      </c>
      <c r="G524" s="23" t="s">
        <v>147</v>
      </c>
      <c r="H524" s="23">
        <v>1</v>
      </c>
      <c r="I524" s="61">
        <v>60</v>
      </c>
      <c r="J524" s="23">
        <v>30000</v>
      </c>
      <c r="K524" s="23">
        <v>42</v>
      </c>
      <c r="L524" s="23">
        <v>1</v>
      </c>
      <c r="M524" s="23" t="s">
        <v>160</v>
      </c>
      <c r="N524" s="23">
        <v>0</v>
      </c>
      <c r="P524" s="23">
        <v>0</v>
      </c>
      <c r="S524" s="23"/>
    </row>
    <row r="525" spans="1:19">
      <c r="A525" s="23" t="s">
        <v>59</v>
      </c>
      <c r="B525" s="23" t="s">
        <v>65</v>
      </c>
      <c r="C525" s="23" t="s">
        <v>21</v>
      </c>
      <c r="D525" s="23" t="s">
        <v>181</v>
      </c>
      <c r="E525" s="23">
        <v>1</v>
      </c>
      <c r="F525" s="23" t="s">
        <v>50</v>
      </c>
      <c r="G525" s="23" t="s">
        <v>148</v>
      </c>
      <c r="H525" s="23">
        <v>2</v>
      </c>
      <c r="I525" s="61">
        <v>60</v>
      </c>
      <c r="J525" s="23">
        <v>30000</v>
      </c>
      <c r="K525" s="23">
        <v>42</v>
      </c>
      <c r="L525" s="23">
        <v>1</v>
      </c>
      <c r="M525" s="23" t="s">
        <v>161</v>
      </c>
      <c r="N525" s="23">
        <v>0</v>
      </c>
      <c r="P525" s="23">
        <v>0</v>
      </c>
      <c r="S525" s="23"/>
    </row>
    <row r="526" spans="1:19">
      <c r="A526" s="23" t="s">
        <v>114</v>
      </c>
      <c r="B526" s="23" t="s">
        <v>65</v>
      </c>
      <c r="C526" s="23" t="s">
        <v>21</v>
      </c>
      <c r="D526" s="23" t="s">
        <v>180</v>
      </c>
      <c r="E526" s="23">
        <v>1</v>
      </c>
      <c r="F526" s="23" t="s">
        <v>50</v>
      </c>
      <c r="G526" s="23" t="s">
        <v>149</v>
      </c>
      <c r="H526" s="23">
        <v>3</v>
      </c>
      <c r="I526" s="61">
        <v>60</v>
      </c>
      <c r="J526" s="23">
        <v>30000</v>
      </c>
      <c r="K526" s="23">
        <v>42</v>
      </c>
      <c r="L526" s="23">
        <v>1</v>
      </c>
      <c r="M526" s="23" t="s">
        <v>160</v>
      </c>
      <c r="N526" s="23">
        <v>0</v>
      </c>
      <c r="P526" s="23">
        <v>0</v>
      </c>
      <c r="S526" s="23"/>
    </row>
    <row r="527" spans="1:19">
      <c r="A527" s="23" t="s">
        <v>114</v>
      </c>
      <c r="B527" s="23" t="s">
        <v>65</v>
      </c>
      <c r="C527" s="23" t="s">
        <v>21</v>
      </c>
      <c r="D527" s="23" t="s">
        <v>180</v>
      </c>
      <c r="E527" s="23">
        <v>1</v>
      </c>
      <c r="F527" s="23" t="s">
        <v>50</v>
      </c>
      <c r="G527" s="23" t="s">
        <v>150</v>
      </c>
      <c r="H527" s="23">
        <v>4</v>
      </c>
      <c r="I527" s="61">
        <v>60</v>
      </c>
      <c r="J527" s="23">
        <v>30000</v>
      </c>
      <c r="K527" s="23">
        <v>42</v>
      </c>
      <c r="L527" s="23">
        <v>1</v>
      </c>
      <c r="M527" s="23" t="s">
        <v>161</v>
      </c>
      <c r="N527" s="23">
        <v>0</v>
      </c>
      <c r="P527" s="23">
        <v>0</v>
      </c>
      <c r="S527" s="23"/>
    </row>
    <row r="528" spans="1:19">
      <c r="A528" s="23" t="s">
        <v>114</v>
      </c>
      <c r="B528" s="23" t="s">
        <v>65</v>
      </c>
      <c r="C528" s="23" t="s">
        <v>21</v>
      </c>
      <c r="D528" s="23" t="s">
        <v>180</v>
      </c>
      <c r="E528" s="23">
        <v>1</v>
      </c>
      <c r="F528" s="23" t="s">
        <v>50</v>
      </c>
      <c r="G528" s="23" t="s">
        <v>151</v>
      </c>
      <c r="H528" s="23">
        <v>5</v>
      </c>
      <c r="I528" s="61">
        <v>60</v>
      </c>
      <c r="J528" s="23">
        <v>30000</v>
      </c>
      <c r="K528" s="23">
        <v>42</v>
      </c>
      <c r="L528" s="23">
        <v>1</v>
      </c>
      <c r="M528" s="23" t="s">
        <v>161</v>
      </c>
      <c r="N528" s="23">
        <v>0</v>
      </c>
      <c r="P528" s="23">
        <v>0</v>
      </c>
      <c r="S528" s="23"/>
    </row>
    <row r="529" spans="1:19">
      <c r="A529" s="23" t="s">
        <v>114</v>
      </c>
      <c r="B529" s="23" t="s">
        <v>65</v>
      </c>
      <c r="C529" s="23" t="s">
        <v>21</v>
      </c>
      <c r="D529" s="23" t="s">
        <v>180</v>
      </c>
      <c r="E529" s="23">
        <v>1</v>
      </c>
      <c r="F529" s="23" t="s">
        <v>50</v>
      </c>
      <c r="G529" s="23" t="s">
        <v>152</v>
      </c>
      <c r="H529" s="23">
        <v>6</v>
      </c>
      <c r="I529" s="61">
        <v>60</v>
      </c>
      <c r="J529" s="23">
        <v>30000</v>
      </c>
      <c r="K529" s="23">
        <v>42</v>
      </c>
      <c r="L529" s="23">
        <v>1</v>
      </c>
      <c r="M529" s="23" t="s">
        <v>160</v>
      </c>
      <c r="N529" s="23">
        <v>0</v>
      </c>
      <c r="P529" s="23">
        <v>0</v>
      </c>
      <c r="R529" s="23">
        <v>1</v>
      </c>
      <c r="S529" s="23"/>
    </row>
    <row r="530" spans="1:19">
      <c r="A530" s="23" t="s">
        <v>114</v>
      </c>
      <c r="B530" s="23" t="s">
        <v>65</v>
      </c>
      <c r="C530" s="23" t="s">
        <v>14</v>
      </c>
      <c r="D530" s="23" t="s">
        <v>180</v>
      </c>
      <c r="E530" s="23">
        <v>2</v>
      </c>
      <c r="F530" s="23" t="s">
        <v>52</v>
      </c>
      <c r="G530" s="23" t="s">
        <v>153</v>
      </c>
      <c r="H530" s="23">
        <v>1</v>
      </c>
      <c r="I530" s="61">
        <v>60</v>
      </c>
      <c r="J530" s="23">
        <v>30000</v>
      </c>
      <c r="K530" s="23">
        <v>42</v>
      </c>
      <c r="L530" s="23">
        <v>2</v>
      </c>
      <c r="M530" s="23" t="s">
        <v>160</v>
      </c>
      <c r="N530" s="23">
        <v>0</v>
      </c>
      <c r="P530" s="23">
        <v>0</v>
      </c>
      <c r="S530" s="23"/>
    </row>
    <row r="531" spans="1:19">
      <c r="A531" s="23" t="s">
        <v>114</v>
      </c>
      <c r="B531" s="23" t="s">
        <v>65</v>
      </c>
      <c r="C531" s="23" t="s">
        <v>14</v>
      </c>
      <c r="D531" s="23" t="s">
        <v>180</v>
      </c>
      <c r="E531" s="23">
        <v>2</v>
      </c>
      <c r="F531" s="23" t="s">
        <v>52</v>
      </c>
      <c r="G531" s="23" t="s">
        <v>154</v>
      </c>
      <c r="H531" s="23">
        <v>2</v>
      </c>
      <c r="I531" s="61">
        <v>60</v>
      </c>
      <c r="J531" s="23">
        <v>30000</v>
      </c>
      <c r="K531" s="23">
        <v>42</v>
      </c>
      <c r="L531" s="23">
        <v>2</v>
      </c>
      <c r="M531" s="23" t="s">
        <v>161</v>
      </c>
      <c r="N531" s="23">
        <v>0</v>
      </c>
      <c r="P531" s="23">
        <v>0</v>
      </c>
      <c r="S531" s="23"/>
    </row>
    <row r="532" spans="1:19">
      <c r="A532" s="23" t="s">
        <v>114</v>
      </c>
      <c r="B532" s="23" t="s">
        <v>65</v>
      </c>
      <c r="C532" s="23" t="s">
        <v>14</v>
      </c>
      <c r="D532" s="23" t="s">
        <v>180</v>
      </c>
      <c r="E532" s="23">
        <v>2</v>
      </c>
      <c r="F532" s="23" t="s">
        <v>51</v>
      </c>
      <c r="G532" s="23" t="s">
        <v>155</v>
      </c>
      <c r="H532" s="23">
        <v>3</v>
      </c>
      <c r="I532" s="61">
        <v>60</v>
      </c>
      <c r="J532" s="23">
        <v>30000</v>
      </c>
      <c r="K532" s="23">
        <v>42</v>
      </c>
      <c r="L532" s="23">
        <v>2</v>
      </c>
      <c r="M532" s="23" t="s">
        <v>161</v>
      </c>
      <c r="N532" s="23">
        <v>0</v>
      </c>
      <c r="P532" s="23">
        <v>0</v>
      </c>
      <c r="S532" s="23"/>
    </row>
    <row r="533" spans="1:19">
      <c r="A533" s="23" t="s">
        <v>114</v>
      </c>
      <c r="B533" s="23" t="s">
        <v>65</v>
      </c>
      <c r="C533" s="23" t="s">
        <v>14</v>
      </c>
      <c r="D533" s="23" t="s">
        <v>180</v>
      </c>
      <c r="E533" s="23">
        <v>2</v>
      </c>
      <c r="F533" s="23" t="s">
        <v>51</v>
      </c>
      <c r="G533" s="23" t="s">
        <v>156</v>
      </c>
      <c r="H533" s="23">
        <v>4</v>
      </c>
      <c r="I533" s="61">
        <v>60</v>
      </c>
      <c r="J533" s="23">
        <v>30000</v>
      </c>
      <c r="K533" s="23">
        <v>42</v>
      </c>
      <c r="L533" s="23">
        <v>2</v>
      </c>
      <c r="M533" s="23" t="s">
        <v>160</v>
      </c>
      <c r="N533" s="23">
        <v>0</v>
      </c>
      <c r="P533" s="23">
        <v>0</v>
      </c>
      <c r="S533" s="23"/>
    </row>
    <row r="534" spans="1:19">
      <c r="A534" s="23" t="s">
        <v>114</v>
      </c>
      <c r="B534" s="23" t="s">
        <v>65</v>
      </c>
      <c r="C534" s="23" t="s">
        <v>14</v>
      </c>
      <c r="D534" s="23" t="s">
        <v>180</v>
      </c>
      <c r="E534" s="23">
        <v>2</v>
      </c>
      <c r="F534" s="23" t="s">
        <v>51</v>
      </c>
      <c r="G534" s="23" t="s">
        <v>157</v>
      </c>
      <c r="H534" s="23">
        <v>5</v>
      </c>
      <c r="I534" s="61">
        <v>60</v>
      </c>
      <c r="J534" s="23">
        <v>30000</v>
      </c>
      <c r="K534" s="23">
        <v>42</v>
      </c>
      <c r="L534" s="23">
        <v>2</v>
      </c>
      <c r="M534" s="23" t="s">
        <v>161</v>
      </c>
      <c r="N534" s="23">
        <v>0</v>
      </c>
      <c r="P534" s="23">
        <v>0</v>
      </c>
      <c r="S534" s="26"/>
    </row>
    <row r="535" spans="1:19">
      <c r="A535" s="23" t="s">
        <v>114</v>
      </c>
      <c r="B535" s="23" t="s">
        <v>65</v>
      </c>
      <c r="C535" s="23" t="s">
        <v>14</v>
      </c>
      <c r="D535" s="23" t="s">
        <v>180</v>
      </c>
      <c r="E535" s="23">
        <v>2</v>
      </c>
      <c r="F535" s="23" t="s">
        <v>51</v>
      </c>
      <c r="G535" s="23" t="s">
        <v>158</v>
      </c>
      <c r="H535" s="23">
        <v>6</v>
      </c>
      <c r="I535" s="61">
        <v>60</v>
      </c>
      <c r="J535" s="23">
        <v>30000</v>
      </c>
      <c r="K535" s="23">
        <v>42</v>
      </c>
      <c r="L535" s="23">
        <v>2</v>
      </c>
      <c r="M535" s="23" t="s">
        <v>160</v>
      </c>
      <c r="N535" s="23">
        <v>1</v>
      </c>
      <c r="O535" s="23" t="s">
        <v>190</v>
      </c>
      <c r="P535" s="23">
        <v>1</v>
      </c>
      <c r="R535" s="23">
        <v>0</v>
      </c>
      <c r="S535" s="26">
        <v>3.88253469099639</v>
      </c>
    </row>
    <row r="536" spans="1:19">
      <c r="A536" s="23" t="s">
        <v>114</v>
      </c>
      <c r="B536" s="23" t="s">
        <v>65</v>
      </c>
      <c r="C536" s="23" t="s">
        <v>22</v>
      </c>
      <c r="D536" s="23" t="s">
        <v>180</v>
      </c>
      <c r="E536" s="23">
        <v>3</v>
      </c>
      <c r="F536" s="23" t="s">
        <v>58</v>
      </c>
      <c r="G536" s="23" t="s">
        <v>156</v>
      </c>
      <c r="H536" s="23">
        <v>1</v>
      </c>
      <c r="I536" s="61">
        <v>60</v>
      </c>
      <c r="J536" s="23">
        <v>30000</v>
      </c>
      <c r="K536" s="23">
        <v>42</v>
      </c>
      <c r="L536" s="23">
        <v>3</v>
      </c>
      <c r="M536" s="23" t="s">
        <v>161</v>
      </c>
      <c r="N536" s="23">
        <v>0</v>
      </c>
      <c r="P536" s="23">
        <v>0</v>
      </c>
      <c r="S536" s="23"/>
    </row>
    <row r="537" spans="1:19">
      <c r="A537" s="23" t="s">
        <v>114</v>
      </c>
      <c r="B537" s="23" t="s">
        <v>65</v>
      </c>
      <c r="C537" s="23" t="s">
        <v>22</v>
      </c>
      <c r="D537" s="23" t="s">
        <v>180</v>
      </c>
      <c r="E537" s="23">
        <v>3</v>
      </c>
      <c r="F537" s="23" t="s">
        <v>58</v>
      </c>
      <c r="G537" s="23" t="s">
        <v>157</v>
      </c>
      <c r="H537" s="23">
        <v>2</v>
      </c>
      <c r="I537" s="61">
        <v>60</v>
      </c>
      <c r="J537" s="23">
        <v>30000</v>
      </c>
      <c r="K537" s="23">
        <v>42</v>
      </c>
      <c r="L537" s="23">
        <v>3</v>
      </c>
      <c r="M537" s="23" t="s">
        <v>160</v>
      </c>
      <c r="N537" s="23">
        <v>0</v>
      </c>
      <c r="P537" s="23">
        <v>0</v>
      </c>
      <c r="S537" s="23"/>
    </row>
    <row r="538" spans="1:19">
      <c r="A538" s="23" t="s">
        <v>114</v>
      </c>
      <c r="B538" s="23" t="s">
        <v>65</v>
      </c>
      <c r="C538" s="23" t="s">
        <v>22</v>
      </c>
      <c r="D538" s="23" t="s">
        <v>180</v>
      </c>
      <c r="E538" s="23">
        <v>3</v>
      </c>
      <c r="F538" s="23" t="s">
        <v>58</v>
      </c>
      <c r="G538" s="23" t="s">
        <v>153</v>
      </c>
      <c r="H538" s="23">
        <v>3</v>
      </c>
      <c r="I538" s="61">
        <v>60</v>
      </c>
      <c r="J538" s="23">
        <v>30000</v>
      </c>
      <c r="K538" s="23">
        <v>42</v>
      </c>
      <c r="L538" s="23">
        <v>3</v>
      </c>
      <c r="M538" s="23" t="s">
        <v>161</v>
      </c>
      <c r="N538" s="23">
        <v>0</v>
      </c>
      <c r="P538" s="23">
        <v>0</v>
      </c>
      <c r="S538" s="23"/>
    </row>
    <row r="539" spans="1:19">
      <c r="A539" s="23" t="s">
        <v>114</v>
      </c>
      <c r="B539" s="23" t="s">
        <v>65</v>
      </c>
      <c r="C539" s="23" t="s">
        <v>22</v>
      </c>
      <c r="D539" s="23" t="s">
        <v>180</v>
      </c>
      <c r="E539" s="23">
        <v>3</v>
      </c>
      <c r="F539" s="23" t="s">
        <v>58</v>
      </c>
      <c r="G539" s="23" t="s">
        <v>158</v>
      </c>
      <c r="H539" s="23">
        <v>4</v>
      </c>
      <c r="I539" s="61">
        <v>60</v>
      </c>
      <c r="J539" s="23">
        <v>30000</v>
      </c>
      <c r="K539" s="23">
        <v>42</v>
      </c>
      <c r="L539" s="23">
        <v>3</v>
      </c>
      <c r="M539" s="23" t="s">
        <v>161</v>
      </c>
      <c r="N539" s="23">
        <v>0</v>
      </c>
      <c r="P539" s="23">
        <v>0</v>
      </c>
      <c r="S539" s="23"/>
    </row>
    <row r="540" spans="1:19">
      <c r="A540" s="23" t="s">
        <v>114</v>
      </c>
      <c r="B540" s="23" t="s">
        <v>65</v>
      </c>
      <c r="C540" s="23" t="s">
        <v>22</v>
      </c>
      <c r="D540" s="23" t="s">
        <v>180</v>
      </c>
      <c r="E540" s="23">
        <v>3</v>
      </c>
      <c r="F540" s="23" t="s">
        <v>58</v>
      </c>
      <c r="G540" s="23" t="s">
        <v>155</v>
      </c>
      <c r="H540" s="23">
        <v>5</v>
      </c>
      <c r="I540" s="61">
        <v>60</v>
      </c>
      <c r="J540" s="23">
        <v>30000</v>
      </c>
      <c r="K540" s="23">
        <v>42</v>
      </c>
      <c r="L540" s="23">
        <v>3</v>
      </c>
      <c r="M540" s="23" t="s">
        <v>160</v>
      </c>
      <c r="N540" s="23">
        <v>0</v>
      </c>
      <c r="P540" s="23">
        <v>0</v>
      </c>
      <c r="S540" s="26"/>
    </row>
    <row r="541" spans="1:19">
      <c r="A541" s="23" t="s">
        <v>114</v>
      </c>
      <c r="B541" s="23" t="s">
        <v>65</v>
      </c>
      <c r="C541" s="23" t="s">
        <v>22</v>
      </c>
      <c r="D541" s="23" t="s">
        <v>180</v>
      </c>
      <c r="E541" s="23">
        <v>3</v>
      </c>
      <c r="F541" s="23" t="s">
        <v>58</v>
      </c>
      <c r="G541" s="23" t="s">
        <v>154</v>
      </c>
      <c r="H541" s="23">
        <v>6</v>
      </c>
      <c r="I541" s="61">
        <v>60</v>
      </c>
      <c r="J541" s="23">
        <v>30000</v>
      </c>
      <c r="K541" s="23">
        <v>42</v>
      </c>
      <c r="L541" s="23">
        <v>3</v>
      </c>
      <c r="M541" s="23" t="s">
        <v>160</v>
      </c>
      <c r="N541" s="23">
        <v>0</v>
      </c>
      <c r="P541" s="23">
        <v>0</v>
      </c>
      <c r="R541" s="23">
        <v>1</v>
      </c>
      <c r="S541" s="26"/>
    </row>
    <row r="542" spans="1:19">
      <c r="A542" s="23" t="s">
        <v>60</v>
      </c>
      <c r="B542" s="23" t="s">
        <v>65</v>
      </c>
      <c r="C542" s="23" t="s">
        <v>21</v>
      </c>
      <c r="D542" s="23" t="s">
        <v>175</v>
      </c>
      <c r="E542" s="23">
        <v>1</v>
      </c>
      <c r="F542" s="23" t="s">
        <v>50</v>
      </c>
      <c r="G542" s="23" t="s">
        <v>147</v>
      </c>
      <c r="H542" s="23">
        <v>1</v>
      </c>
      <c r="I542" s="61">
        <v>26</v>
      </c>
      <c r="J542" s="23">
        <v>14000</v>
      </c>
      <c r="K542" s="23">
        <v>3.4169999999999998</v>
      </c>
      <c r="L542" s="23">
        <v>1</v>
      </c>
      <c r="M542" s="23" t="s">
        <v>160</v>
      </c>
      <c r="N542" s="23">
        <v>0</v>
      </c>
      <c r="P542" s="23">
        <v>0</v>
      </c>
      <c r="S542" s="23"/>
    </row>
    <row r="543" spans="1:19">
      <c r="A543" s="23" t="s">
        <v>60</v>
      </c>
      <c r="B543" s="23" t="s">
        <v>65</v>
      </c>
      <c r="C543" s="23" t="s">
        <v>21</v>
      </c>
      <c r="D543" s="23" t="s">
        <v>175</v>
      </c>
      <c r="E543" s="23">
        <v>1</v>
      </c>
      <c r="F543" s="23" t="s">
        <v>50</v>
      </c>
      <c r="G543" s="23" t="s">
        <v>148</v>
      </c>
      <c r="H543" s="23">
        <v>2</v>
      </c>
      <c r="I543" s="61">
        <v>26</v>
      </c>
      <c r="J543" s="23">
        <v>14000</v>
      </c>
      <c r="K543" s="23">
        <v>3.4169999999999998</v>
      </c>
      <c r="L543" s="23">
        <v>1</v>
      </c>
      <c r="M543" s="23" t="s">
        <v>161</v>
      </c>
      <c r="N543" s="23">
        <v>0</v>
      </c>
      <c r="P543" s="23">
        <v>0</v>
      </c>
      <c r="S543" s="23"/>
    </row>
    <row r="544" spans="1:19">
      <c r="A544" s="23" t="s">
        <v>136</v>
      </c>
      <c r="B544" s="23" t="s">
        <v>65</v>
      </c>
      <c r="C544" s="23" t="s">
        <v>21</v>
      </c>
      <c r="D544" s="23" t="s">
        <v>166</v>
      </c>
      <c r="E544" s="23">
        <v>1</v>
      </c>
      <c r="F544" s="23" t="s">
        <v>50</v>
      </c>
      <c r="G544" s="23" t="s">
        <v>149</v>
      </c>
      <c r="H544" s="23">
        <v>3</v>
      </c>
      <c r="I544" s="61">
        <v>26</v>
      </c>
      <c r="J544" s="23">
        <v>14000</v>
      </c>
      <c r="K544" s="23">
        <v>3.4169999999999998</v>
      </c>
      <c r="L544" s="23">
        <v>1</v>
      </c>
      <c r="M544" s="23" t="s">
        <v>160</v>
      </c>
      <c r="N544" s="23">
        <v>0</v>
      </c>
      <c r="P544" s="23">
        <v>0</v>
      </c>
      <c r="S544" s="23"/>
    </row>
    <row r="545" spans="1:19">
      <c r="A545" s="23" t="s">
        <v>136</v>
      </c>
      <c r="B545" s="23" t="s">
        <v>65</v>
      </c>
      <c r="C545" s="23" t="s">
        <v>21</v>
      </c>
      <c r="D545" s="23" t="s">
        <v>166</v>
      </c>
      <c r="E545" s="23">
        <v>1</v>
      </c>
      <c r="F545" s="23" t="s">
        <v>50</v>
      </c>
      <c r="G545" s="23" t="s">
        <v>150</v>
      </c>
      <c r="H545" s="23">
        <v>4</v>
      </c>
      <c r="I545" s="61">
        <v>26</v>
      </c>
      <c r="J545" s="23">
        <v>14000</v>
      </c>
      <c r="K545" s="23">
        <v>3.4169999999999998</v>
      </c>
      <c r="L545" s="23">
        <v>1</v>
      </c>
      <c r="M545" s="23" t="s">
        <v>161</v>
      </c>
      <c r="N545" s="23">
        <v>0</v>
      </c>
      <c r="P545" s="23">
        <v>0</v>
      </c>
      <c r="S545" s="23"/>
    </row>
    <row r="546" spans="1:19">
      <c r="A546" s="23" t="s">
        <v>136</v>
      </c>
      <c r="B546" s="23" t="s">
        <v>65</v>
      </c>
      <c r="C546" s="23" t="s">
        <v>21</v>
      </c>
      <c r="D546" s="23" t="s">
        <v>166</v>
      </c>
      <c r="E546" s="23">
        <v>1</v>
      </c>
      <c r="F546" s="23" t="s">
        <v>50</v>
      </c>
      <c r="G546" s="23" t="s">
        <v>151</v>
      </c>
      <c r="H546" s="23">
        <v>5</v>
      </c>
      <c r="I546" s="61">
        <v>26</v>
      </c>
      <c r="J546" s="23">
        <v>14000</v>
      </c>
      <c r="K546" s="23">
        <v>3.4169999999999998</v>
      </c>
      <c r="L546" s="23">
        <v>1</v>
      </c>
      <c r="M546" s="23" t="s">
        <v>161</v>
      </c>
      <c r="N546" s="23">
        <v>0</v>
      </c>
      <c r="P546" s="23">
        <v>0</v>
      </c>
      <c r="S546" s="23"/>
    </row>
    <row r="547" spans="1:19">
      <c r="A547" s="23" t="s">
        <v>136</v>
      </c>
      <c r="B547" s="23" t="s">
        <v>65</v>
      </c>
      <c r="C547" s="23" t="s">
        <v>21</v>
      </c>
      <c r="D547" s="23" t="s">
        <v>166</v>
      </c>
      <c r="E547" s="23">
        <v>1</v>
      </c>
      <c r="F547" s="23" t="s">
        <v>50</v>
      </c>
      <c r="G547" s="23" t="s">
        <v>152</v>
      </c>
      <c r="H547" s="23">
        <v>6</v>
      </c>
      <c r="I547" s="61">
        <v>26</v>
      </c>
      <c r="J547" s="23">
        <v>14000</v>
      </c>
      <c r="K547" s="23">
        <v>3.4169999999999998</v>
      </c>
      <c r="L547" s="23">
        <v>1</v>
      </c>
      <c r="M547" s="23" t="s">
        <v>160</v>
      </c>
      <c r="N547" s="23">
        <v>0</v>
      </c>
      <c r="P547" s="23">
        <v>0</v>
      </c>
      <c r="R547" s="23">
        <v>1</v>
      </c>
      <c r="S547" s="23"/>
    </row>
    <row r="548" spans="1:19">
      <c r="A548" s="23" t="s">
        <v>136</v>
      </c>
      <c r="B548" s="23" t="s">
        <v>65</v>
      </c>
      <c r="C548" s="23" t="s">
        <v>22</v>
      </c>
      <c r="D548" s="23" t="s">
        <v>166</v>
      </c>
      <c r="E548" s="23">
        <v>3</v>
      </c>
      <c r="F548" s="23" t="s">
        <v>52</v>
      </c>
      <c r="G548" s="23" t="s">
        <v>153</v>
      </c>
      <c r="H548" s="23">
        <v>1</v>
      </c>
      <c r="I548" s="61">
        <v>26</v>
      </c>
      <c r="J548" s="23">
        <v>14000</v>
      </c>
      <c r="K548" s="23">
        <v>3.4169999999999998</v>
      </c>
      <c r="L548" s="23">
        <v>3</v>
      </c>
      <c r="M548" s="23" t="s">
        <v>160</v>
      </c>
      <c r="N548" s="23">
        <v>0</v>
      </c>
      <c r="P548" s="23">
        <v>0</v>
      </c>
      <c r="S548" s="23"/>
    </row>
    <row r="549" spans="1:19">
      <c r="A549" s="23" t="s">
        <v>136</v>
      </c>
      <c r="B549" s="23" t="s">
        <v>65</v>
      </c>
      <c r="C549" s="23" t="s">
        <v>22</v>
      </c>
      <c r="D549" s="23" t="s">
        <v>166</v>
      </c>
      <c r="E549" s="23">
        <v>3</v>
      </c>
      <c r="F549" s="23" t="s">
        <v>52</v>
      </c>
      <c r="G549" s="23" t="s">
        <v>154</v>
      </c>
      <c r="H549" s="23">
        <v>2</v>
      </c>
      <c r="I549" s="61">
        <v>26</v>
      </c>
      <c r="J549" s="23">
        <v>14000</v>
      </c>
      <c r="K549" s="23">
        <v>3.4169999999999998</v>
      </c>
      <c r="L549" s="23">
        <v>3</v>
      </c>
      <c r="M549" s="23" t="s">
        <v>161</v>
      </c>
      <c r="N549" s="23">
        <v>0</v>
      </c>
      <c r="P549" s="23">
        <v>0</v>
      </c>
      <c r="S549" s="23"/>
    </row>
    <row r="550" spans="1:19">
      <c r="A550" s="23" t="s">
        <v>136</v>
      </c>
      <c r="B550" s="23" t="s">
        <v>65</v>
      </c>
      <c r="C550" s="23" t="s">
        <v>22</v>
      </c>
      <c r="D550" s="23" t="s">
        <v>166</v>
      </c>
      <c r="E550" s="23">
        <v>3</v>
      </c>
      <c r="F550" s="23" t="s">
        <v>51</v>
      </c>
      <c r="G550" s="23" t="s">
        <v>155</v>
      </c>
      <c r="H550" s="23">
        <v>3</v>
      </c>
      <c r="I550" s="61">
        <v>26</v>
      </c>
      <c r="J550" s="23">
        <v>14000</v>
      </c>
      <c r="K550" s="23">
        <v>3.4169999999999998</v>
      </c>
      <c r="L550" s="23">
        <v>3</v>
      </c>
      <c r="M550" s="23" t="s">
        <v>161</v>
      </c>
      <c r="N550" s="23">
        <v>0</v>
      </c>
      <c r="P550" s="23">
        <v>0</v>
      </c>
      <c r="S550" s="23"/>
    </row>
    <row r="551" spans="1:19">
      <c r="A551" s="23" t="s">
        <v>136</v>
      </c>
      <c r="B551" s="23" t="s">
        <v>65</v>
      </c>
      <c r="C551" s="23" t="s">
        <v>22</v>
      </c>
      <c r="D551" s="23" t="s">
        <v>166</v>
      </c>
      <c r="E551" s="23">
        <v>3</v>
      </c>
      <c r="F551" s="23" t="s">
        <v>51</v>
      </c>
      <c r="G551" s="23" t="s">
        <v>156</v>
      </c>
      <c r="H551" s="23">
        <v>4</v>
      </c>
      <c r="I551" s="61">
        <v>26</v>
      </c>
      <c r="J551" s="23">
        <v>14000</v>
      </c>
      <c r="K551" s="23">
        <v>3.4169999999999998</v>
      </c>
      <c r="L551" s="23">
        <v>3</v>
      </c>
      <c r="M551" s="23" t="s">
        <v>160</v>
      </c>
      <c r="N551" s="23">
        <v>0</v>
      </c>
      <c r="P551" s="23">
        <v>0</v>
      </c>
      <c r="S551" s="23"/>
    </row>
    <row r="552" spans="1:19">
      <c r="A552" s="23" t="s">
        <v>136</v>
      </c>
      <c r="B552" s="23" t="s">
        <v>65</v>
      </c>
      <c r="C552" s="23" t="s">
        <v>22</v>
      </c>
      <c r="D552" s="23" t="s">
        <v>166</v>
      </c>
      <c r="E552" s="23">
        <v>3</v>
      </c>
      <c r="F552" s="23" t="s">
        <v>51</v>
      </c>
      <c r="G552" s="23" t="s">
        <v>157</v>
      </c>
      <c r="H552" s="23">
        <v>5</v>
      </c>
      <c r="I552" s="61">
        <v>26</v>
      </c>
      <c r="J552" s="23">
        <v>14000</v>
      </c>
      <c r="K552" s="23">
        <v>3.4169999999999998</v>
      </c>
      <c r="L552" s="23">
        <v>3</v>
      </c>
      <c r="M552" s="23" t="s">
        <v>161</v>
      </c>
      <c r="N552" s="23">
        <v>0</v>
      </c>
      <c r="P552" s="23">
        <v>0</v>
      </c>
      <c r="S552" s="26"/>
    </row>
    <row r="553" spans="1:19">
      <c r="A553" s="23" t="s">
        <v>136</v>
      </c>
      <c r="B553" s="23" t="s">
        <v>65</v>
      </c>
      <c r="C553" s="23" t="s">
        <v>22</v>
      </c>
      <c r="D553" s="23" t="s">
        <v>166</v>
      </c>
      <c r="E553" s="23">
        <v>3</v>
      </c>
      <c r="F553" s="23" t="s">
        <v>51</v>
      </c>
      <c r="G553" s="23" t="s">
        <v>158</v>
      </c>
      <c r="H553" s="23">
        <v>6</v>
      </c>
      <c r="I553" s="61">
        <v>26</v>
      </c>
      <c r="J553" s="23">
        <v>14000</v>
      </c>
      <c r="K553" s="23">
        <v>3.4169999999999998</v>
      </c>
      <c r="L553" s="23">
        <v>3</v>
      </c>
      <c r="M553" s="23" t="s">
        <v>160</v>
      </c>
      <c r="N553" s="23">
        <v>0</v>
      </c>
      <c r="P553" s="23">
        <v>0</v>
      </c>
      <c r="R553" s="23">
        <v>1</v>
      </c>
      <c r="S553" s="26"/>
    </row>
    <row r="554" spans="1:19">
      <c r="A554" s="23" t="s">
        <v>136</v>
      </c>
      <c r="B554" s="23" t="s">
        <v>65</v>
      </c>
      <c r="C554" s="23" t="s">
        <v>14</v>
      </c>
      <c r="D554" s="23" t="s">
        <v>166</v>
      </c>
      <c r="E554" s="23">
        <v>2</v>
      </c>
      <c r="F554" s="23" t="s">
        <v>58</v>
      </c>
      <c r="G554" s="23" t="s">
        <v>156</v>
      </c>
      <c r="H554" s="23">
        <v>1</v>
      </c>
      <c r="I554" s="61">
        <v>26</v>
      </c>
      <c r="J554" s="23">
        <v>14000</v>
      </c>
      <c r="K554" s="23">
        <v>3.4169999999999998</v>
      </c>
      <c r="L554" s="23">
        <v>2</v>
      </c>
      <c r="M554" s="23" t="s">
        <v>161</v>
      </c>
      <c r="N554" s="23">
        <v>0</v>
      </c>
      <c r="P554" s="23">
        <v>0</v>
      </c>
      <c r="S554" s="23"/>
    </row>
    <row r="555" spans="1:19">
      <c r="A555" s="23" t="s">
        <v>136</v>
      </c>
      <c r="B555" s="23" t="s">
        <v>65</v>
      </c>
      <c r="C555" s="23" t="s">
        <v>14</v>
      </c>
      <c r="D555" s="23" t="s">
        <v>166</v>
      </c>
      <c r="E555" s="23">
        <v>2</v>
      </c>
      <c r="F555" s="23" t="s">
        <v>58</v>
      </c>
      <c r="G555" s="23" t="s">
        <v>157</v>
      </c>
      <c r="H555" s="23">
        <v>2</v>
      </c>
      <c r="I555" s="61">
        <v>26</v>
      </c>
      <c r="J555" s="23">
        <v>14000</v>
      </c>
      <c r="K555" s="23">
        <v>3.4169999999999998</v>
      </c>
      <c r="L555" s="23">
        <v>2</v>
      </c>
      <c r="M555" s="23" t="s">
        <v>160</v>
      </c>
      <c r="N555" s="23">
        <v>0</v>
      </c>
      <c r="P555" s="23">
        <v>0</v>
      </c>
      <c r="S555" s="23"/>
    </row>
    <row r="556" spans="1:19">
      <c r="A556" s="23" t="s">
        <v>136</v>
      </c>
      <c r="B556" s="23" t="s">
        <v>65</v>
      </c>
      <c r="C556" s="23" t="s">
        <v>14</v>
      </c>
      <c r="D556" s="23" t="s">
        <v>166</v>
      </c>
      <c r="E556" s="23">
        <v>2</v>
      </c>
      <c r="F556" s="23" t="s">
        <v>58</v>
      </c>
      <c r="G556" s="23" t="s">
        <v>153</v>
      </c>
      <c r="H556" s="23">
        <v>3</v>
      </c>
      <c r="I556" s="61">
        <v>26</v>
      </c>
      <c r="J556" s="23">
        <v>14000</v>
      </c>
      <c r="K556" s="23">
        <v>3.4169999999999998</v>
      </c>
      <c r="L556" s="23">
        <v>2</v>
      </c>
      <c r="M556" s="23" t="s">
        <v>161</v>
      </c>
      <c r="N556" s="23">
        <v>0</v>
      </c>
      <c r="P556" s="23">
        <v>0</v>
      </c>
      <c r="S556" s="23"/>
    </row>
    <row r="557" spans="1:19">
      <c r="A557" s="23" t="s">
        <v>136</v>
      </c>
      <c r="B557" s="23" t="s">
        <v>65</v>
      </c>
      <c r="C557" s="23" t="s">
        <v>14</v>
      </c>
      <c r="D557" s="23" t="s">
        <v>166</v>
      </c>
      <c r="E557" s="23">
        <v>2</v>
      </c>
      <c r="F557" s="23" t="s">
        <v>58</v>
      </c>
      <c r="G557" s="23" t="s">
        <v>158</v>
      </c>
      <c r="H557" s="23">
        <v>4</v>
      </c>
      <c r="I557" s="61">
        <v>26</v>
      </c>
      <c r="J557" s="23">
        <v>14000</v>
      </c>
      <c r="K557" s="23">
        <v>3.4169999999999998</v>
      </c>
      <c r="L557" s="23">
        <v>2</v>
      </c>
      <c r="M557" s="23" t="s">
        <v>161</v>
      </c>
      <c r="N557" s="23">
        <v>0</v>
      </c>
      <c r="P557" s="23">
        <v>0</v>
      </c>
      <c r="S557" s="23"/>
    </row>
    <row r="558" spans="1:19">
      <c r="A558" s="23" t="s">
        <v>136</v>
      </c>
      <c r="B558" s="23" t="s">
        <v>65</v>
      </c>
      <c r="C558" s="23" t="s">
        <v>14</v>
      </c>
      <c r="D558" s="23" t="s">
        <v>166</v>
      </c>
      <c r="E558" s="23">
        <v>2</v>
      </c>
      <c r="F558" s="23" t="s">
        <v>58</v>
      </c>
      <c r="G558" s="23" t="s">
        <v>155</v>
      </c>
      <c r="H558" s="23">
        <v>5</v>
      </c>
      <c r="I558" s="61">
        <v>26</v>
      </c>
      <c r="J558" s="23">
        <v>14000</v>
      </c>
      <c r="K558" s="23">
        <v>3.4169999999999998</v>
      </c>
      <c r="L558" s="23">
        <v>2</v>
      </c>
      <c r="M558" s="23" t="s">
        <v>160</v>
      </c>
      <c r="N558" s="23">
        <v>0</v>
      </c>
      <c r="P558" s="23">
        <v>0</v>
      </c>
      <c r="S558" s="26"/>
    </row>
    <row r="559" spans="1:19">
      <c r="A559" s="23" t="s">
        <v>136</v>
      </c>
      <c r="B559" s="23" t="s">
        <v>65</v>
      </c>
      <c r="C559" s="23" t="s">
        <v>14</v>
      </c>
      <c r="D559" s="23" t="s">
        <v>166</v>
      </c>
      <c r="E559" s="23">
        <v>2</v>
      </c>
      <c r="F559" s="23" t="s">
        <v>58</v>
      </c>
      <c r="G559" s="23" t="s">
        <v>154</v>
      </c>
      <c r="H559" s="23">
        <v>6</v>
      </c>
      <c r="I559" s="61">
        <v>26</v>
      </c>
      <c r="J559" s="23">
        <v>14000</v>
      </c>
      <c r="K559" s="23">
        <v>3.4169999999999998</v>
      </c>
      <c r="L559" s="23">
        <v>2</v>
      </c>
      <c r="M559" s="23" t="s">
        <v>160</v>
      </c>
      <c r="N559" s="23">
        <v>1</v>
      </c>
      <c r="O559" s="23" t="s">
        <v>190</v>
      </c>
      <c r="P559" s="23">
        <v>1</v>
      </c>
      <c r="R559" s="23">
        <v>1</v>
      </c>
      <c r="S559" s="26">
        <v>1.3125005254241831</v>
      </c>
    </row>
    <row r="560" spans="1:19">
      <c r="A560" s="23" t="s">
        <v>138</v>
      </c>
      <c r="B560" s="23" t="s">
        <v>65</v>
      </c>
      <c r="C560" s="23" t="s">
        <v>21</v>
      </c>
      <c r="D560" s="23" t="s">
        <v>188</v>
      </c>
      <c r="E560" s="23">
        <v>2</v>
      </c>
      <c r="F560" s="23" t="s">
        <v>50</v>
      </c>
      <c r="G560" s="23" t="s">
        <v>147</v>
      </c>
      <c r="H560" s="23">
        <v>1</v>
      </c>
      <c r="I560" s="61">
        <v>27</v>
      </c>
      <c r="J560" s="23">
        <v>5000</v>
      </c>
      <c r="K560" s="23">
        <v>2</v>
      </c>
      <c r="L560" s="23">
        <v>2</v>
      </c>
      <c r="M560" s="23" t="s">
        <v>160</v>
      </c>
      <c r="N560" s="23">
        <v>1</v>
      </c>
      <c r="O560" s="23" t="s">
        <v>193</v>
      </c>
      <c r="P560" s="23">
        <v>1</v>
      </c>
      <c r="Q560" s="23" t="s">
        <v>193</v>
      </c>
      <c r="S560" s="23"/>
    </row>
    <row r="561" spans="1:19">
      <c r="A561" s="23" t="s">
        <v>138</v>
      </c>
      <c r="B561" s="23" t="s">
        <v>65</v>
      </c>
      <c r="C561" s="23" t="s">
        <v>21</v>
      </c>
      <c r="D561" s="23" t="s">
        <v>188</v>
      </c>
      <c r="E561" s="23">
        <v>2</v>
      </c>
      <c r="F561" s="23" t="s">
        <v>50</v>
      </c>
      <c r="G561" s="23" t="s">
        <v>148</v>
      </c>
      <c r="H561" s="23">
        <v>2</v>
      </c>
      <c r="I561" s="61">
        <v>27</v>
      </c>
      <c r="J561" s="23">
        <v>5000</v>
      </c>
      <c r="K561" s="23">
        <v>2</v>
      </c>
      <c r="L561" s="23">
        <v>2</v>
      </c>
      <c r="M561" s="23" t="s">
        <v>161</v>
      </c>
      <c r="N561" s="23">
        <v>1</v>
      </c>
      <c r="O561" s="23" t="s">
        <v>193</v>
      </c>
      <c r="P561" s="23">
        <v>1</v>
      </c>
      <c r="Q561" s="23" t="s">
        <v>193</v>
      </c>
      <c r="S561" s="23"/>
    </row>
    <row r="562" spans="1:19">
      <c r="A562" s="23" t="s">
        <v>138</v>
      </c>
      <c r="B562" s="23" t="s">
        <v>65</v>
      </c>
      <c r="C562" s="23" t="s">
        <v>21</v>
      </c>
      <c r="D562" s="23" t="s">
        <v>188</v>
      </c>
      <c r="E562" s="23">
        <v>2</v>
      </c>
      <c r="F562" s="23" t="s">
        <v>50</v>
      </c>
      <c r="G562" s="23" t="s">
        <v>149</v>
      </c>
      <c r="H562" s="23">
        <v>3</v>
      </c>
      <c r="I562" s="61">
        <v>27</v>
      </c>
      <c r="J562" s="23">
        <v>5000</v>
      </c>
      <c r="K562" s="23">
        <v>2</v>
      </c>
      <c r="L562" s="23">
        <v>2</v>
      </c>
      <c r="M562" s="23" t="s">
        <v>160</v>
      </c>
      <c r="N562" s="23">
        <v>1</v>
      </c>
      <c r="O562" s="23" t="s">
        <v>190</v>
      </c>
      <c r="P562" s="23">
        <v>1</v>
      </c>
      <c r="Q562" s="23" t="s">
        <v>190</v>
      </c>
      <c r="S562" s="23"/>
    </row>
    <row r="563" spans="1:19">
      <c r="A563" s="23" t="s">
        <v>138</v>
      </c>
      <c r="B563" s="23" t="s">
        <v>65</v>
      </c>
      <c r="C563" s="23" t="s">
        <v>21</v>
      </c>
      <c r="D563" s="23" t="s">
        <v>188</v>
      </c>
      <c r="E563" s="23">
        <v>2</v>
      </c>
      <c r="F563" s="23" t="s">
        <v>50</v>
      </c>
      <c r="G563" s="23" t="s">
        <v>150</v>
      </c>
      <c r="H563" s="23">
        <v>4</v>
      </c>
      <c r="I563" s="61">
        <v>27</v>
      </c>
      <c r="J563" s="23">
        <v>5000</v>
      </c>
      <c r="K563" s="23">
        <v>2</v>
      </c>
      <c r="L563" s="23">
        <v>2</v>
      </c>
      <c r="M563" s="23" t="s">
        <v>161</v>
      </c>
      <c r="N563" s="23">
        <v>1</v>
      </c>
      <c r="O563" s="23" t="s">
        <v>193</v>
      </c>
      <c r="P563" s="23">
        <v>1</v>
      </c>
      <c r="Q563" s="23" t="s">
        <v>193</v>
      </c>
      <c r="S563" s="23"/>
    </row>
    <row r="564" spans="1:19">
      <c r="A564" s="23" t="s">
        <v>138</v>
      </c>
      <c r="B564" s="23" t="s">
        <v>65</v>
      </c>
      <c r="C564" s="23" t="s">
        <v>21</v>
      </c>
      <c r="D564" s="23" t="s">
        <v>188</v>
      </c>
      <c r="E564" s="23">
        <v>2</v>
      </c>
      <c r="F564" s="23" t="s">
        <v>50</v>
      </c>
      <c r="G564" s="23" t="s">
        <v>151</v>
      </c>
      <c r="H564" s="23">
        <v>5</v>
      </c>
      <c r="I564" s="61">
        <v>27</v>
      </c>
      <c r="J564" s="23">
        <v>5000</v>
      </c>
      <c r="K564" s="23">
        <v>2</v>
      </c>
      <c r="L564" s="23">
        <v>2</v>
      </c>
      <c r="M564" s="23" t="s">
        <v>161</v>
      </c>
      <c r="N564" s="23">
        <v>0</v>
      </c>
      <c r="P564" s="23">
        <v>0</v>
      </c>
      <c r="S564" s="26"/>
    </row>
    <row r="565" spans="1:19">
      <c r="A565" s="23" t="s">
        <v>138</v>
      </c>
      <c r="B565" s="23" t="s">
        <v>65</v>
      </c>
      <c r="C565" s="23" t="s">
        <v>21</v>
      </c>
      <c r="D565" s="23" t="s">
        <v>188</v>
      </c>
      <c r="E565" s="23">
        <v>2</v>
      </c>
      <c r="F565" s="23" t="s">
        <v>50</v>
      </c>
      <c r="G565" s="23" t="s">
        <v>152</v>
      </c>
      <c r="H565" s="23">
        <v>6</v>
      </c>
      <c r="I565" s="61">
        <v>27</v>
      </c>
      <c r="J565" s="23">
        <v>5000</v>
      </c>
      <c r="K565" s="23">
        <v>2</v>
      </c>
      <c r="L565" s="23">
        <v>2</v>
      </c>
      <c r="M565" s="23" t="s">
        <v>160</v>
      </c>
      <c r="N565" s="23">
        <v>1</v>
      </c>
      <c r="O565" s="23" t="s">
        <v>193</v>
      </c>
      <c r="P565" s="23">
        <v>1</v>
      </c>
      <c r="Q565" s="23" t="s">
        <v>193</v>
      </c>
      <c r="R565" s="23">
        <v>0</v>
      </c>
      <c r="S565" s="23">
        <v>19.83641998207943</v>
      </c>
    </row>
    <row r="566" spans="1:19">
      <c r="A566" s="23" t="s">
        <v>61</v>
      </c>
      <c r="B566" s="23" t="s">
        <v>65</v>
      </c>
      <c r="C566" s="23" t="s">
        <v>14</v>
      </c>
      <c r="D566" s="23" t="s">
        <v>189</v>
      </c>
      <c r="E566" s="23">
        <v>1</v>
      </c>
      <c r="F566" s="23" t="s">
        <v>52</v>
      </c>
      <c r="G566" s="23" t="s">
        <v>153</v>
      </c>
      <c r="H566" s="23">
        <v>1</v>
      </c>
      <c r="I566" s="61">
        <v>27</v>
      </c>
      <c r="J566" s="23">
        <v>5000</v>
      </c>
      <c r="K566" s="23">
        <v>2</v>
      </c>
      <c r="L566" s="23">
        <v>1</v>
      </c>
      <c r="M566" s="23" t="s">
        <v>160</v>
      </c>
      <c r="N566" s="23">
        <v>1</v>
      </c>
      <c r="O566" s="23" t="s">
        <v>190</v>
      </c>
      <c r="P566" s="23">
        <v>1</v>
      </c>
      <c r="S566" s="23"/>
    </row>
    <row r="567" spans="1:19">
      <c r="A567" s="23" t="s">
        <v>61</v>
      </c>
      <c r="B567" s="23" t="s">
        <v>65</v>
      </c>
      <c r="C567" s="23" t="s">
        <v>14</v>
      </c>
      <c r="D567" s="23" t="s">
        <v>189</v>
      </c>
      <c r="E567" s="23">
        <v>1</v>
      </c>
      <c r="F567" s="23" t="s">
        <v>52</v>
      </c>
      <c r="G567" s="23" t="s">
        <v>154</v>
      </c>
      <c r="H567" s="23">
        <v>2</v>
      </c>
      <c r="I567" s="61">
        <v>27</v>
      </c>
      <c r="J567" s="23">
        <v>5000</v>
      </c>
      <c r="K567" s="23">
        <v>2</v>
      </c>
      <c r="L567" s="23">
        <v>1</v>
      </c>
      <c r="M567" s="23" t="s">
        <v>161</v>
      </c>
      <c r="N567" s="23">
        <v>1</v>
      </c>
      <c r="O567" s="23" t="s">
        <v>190</v>
      </c>
      <c r="P567" s="23">
        <v>1</v>
      </c>
      <c r="S567" s="23"/>
    </row>
    <row r="568" spans="1:19">
      <c r="A568" s="23" t="s">
        <v>138</v>
      </c>
      <c r="B568" s="23" t="s">
        <v>65</v>
      </c>
      <c r="C568" s="23" t="s">
        <v>14</v>
      </c>
      <c r="D568" s="23" t="s">
        <v>188</v>
      </c>
      <c r="E568" s="23">
        <v>1</v>
      </c>
      <c r="F568" s="23" t="s">
        <v>51</v>
      </c>
      <c r="G568" s="23" t="s">
        <v>155</v>
      </c>
      <c r="H568" s="23">
        <v>3</v>
      </c>
      <c r="I568" s="61">
        <v>27</v>
      </c>
      <c r="J568" s="23">
        <v>5000</v>
      </c>
      <c r="K568" s="23">
        <v>2</v>
      </c>
      <c r="L568" s="23">
        <v>1</v>
      </c>
      <c r="M568" s="23" t="s">
        <v>161</v>
      </c>
      <c r="N568" s="23">
        <v>1</v>
      </c>
      <c r="O568" s="23" t="s">
        <v>190</v>
      </c>
      <c r="P568" s="23">
        <v>1</v>
      </c>
      <c r="S568" s="23"/>
    </row>
    <row r="569" spans="1:19">
      <c r="A569" s="23" t="s">
        <v>138</v>
      </c>
      <c r="B569" s="23" t="s">
        <v>65</v>
      </c>
      <c r="C569" s="23" t="s">
        <v>14</v>
      </c>
      <c r="D569" s="23" t="s">
        <v>188</v>
      </c>
      <c r="E569" s="23">
        <v>1</v>
      </c>
      <c r="F569" s="23" t="s">
        <v>51</v>
      </c>
      <c r="G569" s="23" t="s">
        <v>156</v>
      </c>
      <c r="H569" s="23">
        <v>4</v>
      </c>
      <c r="I569" s="61">
        <v>27</v>
      </c>
      <c r="J569" s="23">
        <v>5000</v>
      </c>
      <c r="K569" s="23">
        <v>2</v>
      </c>
      <c r="L569" s="23">
        <v>1</v>
      </c>
      <c r="M569" s="23" t="s">
        <v>160</v>
      </c>
      <c r="N569" s="23">
        <v>1</v>
      </c>
      <c r="O569" s="23" t="s">
        <v>190</v>
      </c>
      <c r="P569" s="23">
        <v>1</v>
      </c>
      <c r="S569" s="23"/>
    </row>
    <row r="570" spans="1:19">
      <c r="A570" s="23" t="s">
        <v>138</v>
      </c>
      <c r="B570" s="23" t="s">
        <v>65</v>
      </c>
      <c r="C570" s="23" t="s">
        <v>14</v>
      </c>
      <c r="D570" s="23" t="s">
        <v>188</v>
      </c>
      <c r="E570" s="23">
        <v>1</v>
      </c>
      <c r="F570" s="23" t="s">
        <v>51</v>
      </c>
      <c r="G570" s="23" t="s">
        <v>157</v>
      </c>
      <c r="H570" s="23">
        <v>5</v>
      </c>
      <c r="I570" s="61">
        <v>27</v>
      </c>
      <c r="J570" s="23">
        <v>5000</v>
      </c>
      <c r="K570" s="23">
        <v>2</v>
      </c>
      <c r="L570" s="23">
        <v>1</v>
      </c>
      <c r="M570" s="23" t="s">
        <v>161</v>
      </c>
      <c r="N570" s="23">
        <v>1</v>
      </c>
      <c r="O570" s="23" t="s">
        <v>190</v>
      </c>
      <c r="P570" s="23">
        <v>1</v>
      </c>
      <c r="S570" s="23"/>
    </row>
    <row r="571" spans="1:19">
      <c r="A571" s="23" t="s">
        <v>138</v>
      </c>
      <c r="B571" s="23" t="s">
        <v>65</v>
      </c>
      <c r="C571" s="23" t="s">
        <v>14</v>
      </c>
      <c r="D571" s="23" t="s">
        <v>188</v>
      </c>
      <c r="E571" s="23">
        <v>1</v>
      </c>
      <c r="F571" s="23" t="s">
        <v>51</v>
      </c>
      <c r="G571" s="23" t="s">
        <v>158</v>
      </c>
      <c r="H571" s="23">
        <v>6</v>
      </c>
      <c r="I571" s="61">
        <v>27</v>
      </c>
      <c r="J571" s="23">
        <v>5000</v>
      </c>
      <c r="K571" s="23">
        <v>2</v>
      </c>
      <c r="L571" s="23">
        <v>1</v>
      </c>
      <c r="M571" s="23" t="s">
        <v>160</v>
      </c>
      <c r="N571" s="23">
        <v>1</v>
      </c>
      <c r="O571" s="23" t="s">
        <v>190</v>
      </c>
      <c r="P571" s="23">
        <v>1</v>
      </c>
      <c r="R571" s="23">
        <v>0</v>
      </c>
      <c r="S571" s="26">
        <v>21.404895367182689</v>
      </c>
    </row>
    <row r="572" spans="1:19">
      <c r="A572" s="23" t="s">
        <v>138</v>
      </c>
      <c r="B572" s="23" t="s">
        <v>65</v>
      </c>
      <c r="C572" s="23" t="s">
        <v>22</v>
      </c>
      <c r="D572" s="23" t="s">
        <v>188</v>
      </c>
      <c r="E572" s="23">
        <v>3</v>
      </c>
      <c r="F572" s="23" t="s">
        <v>58</v>
      </c>
      <c r="G572" s="23" t="s">
        <v>156</v>
      </c>
      <c r="H572" s="23">
        <v>1</v>
      </c>
      <c r="I572" s="61">
        <v>27</v>
      </c>
      <c r="J572" s="23">
        <v>5000</v>
      </c>
      <c r="K572" s="23">
        <v>2</v>
      </c>
      <c r="L572" s="23">
        <v>3</v>
      </c>
      <c r="M572" s="23" t="s">
        <v>161</v>
      </c>
      <c r="N572" s="23">
        <v>1</v>
      </c>
      <c r="O572" s="23" t="s">
        <v>190</v>
      </c>
      <c r="P572" s="23">
        <v>1</v>
      </c>
      <c r="Q572" s="23" t="s">
        <v>190</v>
      </c>
      <c r="S572" s="23"/>
    </row>
    <row r="573" spans="1:19">
      <c r="A573" s="23" t="s">
        <v>138</v>
      </c>
      <c r="B573" s="23" t="s">
        <v>65</v>
      </c>
      <c r="C573" s="23" t="s">
        <v>22</v>
      </c>
      <c r="D573" s="23" t="s">
        <v>188</v>
      </c>
      <c r="E573" s="23">
        <v>3</v>
      </c>
      <c r="F573" s="23" t="s">
        <v>58</v>
      </c>
      <c r="G573" s="23" t="s">
        <v>157</v>
      </c>
      <c r="H573" s="23">
        <v>2</v>
      </c>
      <c r="I573" s="61">
        <v>27</v>
      </c>
      <c r="J573" s="23">
        <v>5000</v>
      </c>
      <c r="K573" s="23">
        <v>2</v>
      </c>
      <c r="L573" s="23">
        <v>3</v>
      </c>
      <c r="M573" s="23" t="s">
        <v>160</v>
      </c>
      <c r="N573" s="23">
        <v>1</v>
      </c>
      <c r="O573" s="23" t="s">
        <v>193</v>
      </c>
      <c r="P573" s="23">
        <v>1</v>
      </c>
      <c r="Q573" s="23" t="s">
        <v>193</v>
      </c>
      <c r="S573" s="23"/>
    </row>
    <row r="574" spans="1:19">
      <c r="A574" s="23" t="s">
        <v>138</v>
      </c>
      <c r="B574" s="23" t="s">
        <v>65</v>
      </c>
      <c r="C574" s="23" t="s">
        <v>22</v>
      </c>
      <c r="D574" s="23" t="s">
        <v>188</v>
      </c>
      <c r="E574" s="23">
        <v>3</v>
      </c>
      <c r="F574" s="23" t="s">
        <v>58</v>
      </c>
      <c r="G574" s="23" t="s">
        <v>153</v>
      </c>
      <c r="H574" s="23">
        <v>3</v>
      </c>
      <c r="I574" s="61">
        <v>27</v>
      </c>
      <c r="J574" s="23">
        <v>5000</v>
      </c>
      <c r="K574" s="23">
        <v>2</v>
      </c>
      <c r="L574" s="23">
        <v>3</v>
      </c>
      <c r="M574" s="23" t="s">
        <v>161</v>
      </c>
      <c r="N574" s="23">
        <v>1</v>
      </c>
      <c r="O574" s="23" t="s">
        <v>190</v>
      </c>
      <c r="P574" s="23">
        <v>1</v>
      </c>
      <c r="Q574" s="23" t="s">
        <v>190</v>
      </c>
      <c r="S574" s="23"/>
    </row>
    <row r="575" spans="1:19">
      <c r="A575" s="23" t="s">
        <v>138</v>
      </c>
      <c r="B575" s="23" t="s">
        <v>65</v>
      </c>
      <c r="C575" s="23" t="s">
        <v>22</v>
      </c>
      <c r="D575" s="23" t="s">
        <v>188</v>
      </c>
      <c r="E575" s="23">
        <v>3</v>
      </c>
      <c r="F575" s="23" t="s">
        <v>58</v>
      </c>
      <c r="G575" s="23" t="s">
        <v>158</v>
      </c>
      <c r="H575" s="23">
        <v>4</v>
      </c>
      <c r="I575" s="61">
        <v>27</v>
      </c>
      <c r="J575" s="23">
        <v>5000</v>
      </c>
      <c r="K575" s="23">
        <v>2</v>
      </c>
      <c r="L575" s="23">
        <v>3</v>
      </c>
      <c r="M575" s="23" t="s">
        <v>161</v>
      </c>
      <c r="N575" s="23">
        <v>1</v>
      </c>
      <c r="O575" s="23" t="s">
        <v>190</v>
      </c>
      <c r="P575" s="23">
        <v>1</v>
      </c>
      <c r="Q575" s="23" t="s">
        <v>190</v>
      </c>
      <c r="S575" s="23"/>
    </row>
    <row r="576" spans="1:19">
      <c r="A576" s="23" t="s">
        <v>138</v>
      </c>
      <c r="B576" s="23" t="s">
        <v>65</v>
      </c>
      <c r="C576" s="23" t="s">
        <v>22</v>
      </c>
      <c r="D576" s="23" t="s">
        <v>188</v>
      </c>
      <c r="E576" s="23">
        <v>3</v>
      </c>
      <c r="F576" s="23" t="s">
        <v>58</v>
      </c>
      <c r="G576" s="23" t="s">
        <v>155</v>
      </c>
      <c r="H576" s="23">
        <v>5</v>
      </c>
      <c r="I576" s="61">
        <v>27</v>
      </c>
      <c r="J576" s="23">
        <v>5000</v>
      </c>
      <c r="K576" s="23">
        <v>2</v>
      </c>
      <c r="L576" s="23">
        <v>3</v>
      </c>
      <c r="M576" s="23" t="s">
        <v>160</v>
      </c>
      <c r="N576" s="23">
        <v>1</v>
      </c>
      <c r="O576" s="23" t="s">
        <v>193</v>
      </c>
      <c r="P576" s="23">
        <v>1</v>
      </c>
      <c r="Q576" s="23" t="s">
        <v>193</v>
      </c>
      <c r="S576" s="26"/>
    </row>
    <row r="577" spans="1:19">
      <c r="A577" s="23" t="s">
        <v>138</v>
      </c>
      <c r="B577" s="23" t="s">
        <v>65</v>
      </c>
      <c r="C577" s="23" t="s">
        <v>22</v>
      </c>
      <c r="D577" s="23" t="s">
        <v>188</v>
      </c>
      <c r="E577" s="23">
        <v>3</v>
      </c>
      <c r="F577" s="23" t="s">
        <v>58</v>
      </c>
      <c r="G577" s="23" t="s">
        <v>154</v>
      </c>
      <c r="H577" s="23">
        <v>6</v>
      </c>
      <c r="I577" s="61">
        <v>27</v>
      </c>
      <c r="J577" s="23">
        <v>5000</v>
      </c>
      <c r="K577" s="23">
        <v>2</v>
      </c>
      <c r="L577" s="23">
        <v>3</v>
      </c>
      <c r="M577" s="23" t="s">
        <v>160</v>
      </c>
      <c r="N577" s="23">
        <v>1</v>
      </c>
      <c r="O577" s="23" t="s">
        <v>190</v>
      </c>
      <c r="P577" s="23">
        <v>1</v>
      </c>
      <c r="Q577" s="23" t="s">
        <v>190</v>
      </c>
      <c r="R577" s="23">
        <v>0</v>
      </c>
      <c r="S577" s="26">
        <v>14.469932756084861</v>
      </c>
    </row>
    <row r="578" spans="1:19">
      <c r="A578" s="23" t="s">
        <v>62</v>
      </c>
      <c r="B578" s="23" t="s">
        <v>65</v>
      </c>
      <c r="C578" s="23" t="s">
        <v>14</v>
      </c>
      <c r="D578" s="23" t="s">
        <v>177</v>
      </c>
      <c r="E578" s="23">
        <v>1</v>
      </c>
      <c r="F578" s="23" t="s">
        <v>50</v>
      </c>
      <c r="G578" s="23" t="s">
        <v>147</v>
      </c>
      <c r="H578" s="23">
        <v>1</v>
      </c>
      <c r="I578" s="61">
        <v>53</v>
      </c>
      <c r="J578" s="23">
        <v>2000</v>
      </c>
      <c r="K578" s="23">
        <v>36</v>
      </c>
      <c r="L578" s="23">
        <v>1</v>
      </c>
      <c r="M578" s="23" t="s">
        <v>160</v>
      </c>
      <c r="N578" s="23">
        <v>0</v>
      </c>
      <c r="P578" s="23">
        <v>0</v>
      </c>
      <c r="S578" s="23"/>
    </row>
    <row r="579" spans="1:19">
      <c r="A579" s="23" t="s">
        <v>62</v>
      </c>
      <c r="B579" s="23" t="s">
        <v>65</v>
      </c>
      <c r="C579" s="23" t="s">
        <v>14</v>
      </c>
      <c r="D579" s="23" t="s">
        <v>177</v>
      </c>
      <c r="E579" s="23">
        <v>1</v>
      </c>
      <c r="F579" s="23" t="s">
        <v>50</v>
      </c>
      <c r="G579" s="23" t="s">
        <v>148</v>
      </c>
      <c r="H579" s="23">
        <v>2</v>
      </c>
      <c r="I579" s="61">
        <v>53</v>
      </c>
      <c r="J579" s="23">
        <v>2000</v>
      </c>
      <c r="K579" s="23">
        <v>36</v>
      </c>
      <c r="L579" s="23">
        <v>1</v>
      </c>
      <c r="M579" s="23" t="s">
        <v>161</v>
      </c>
      <c r="N579" s="23">
        <v>0</v>
      </c>
      <c r="P579" s="23">
        <v>0</v>
      </c>
      <c r="S579" s="23"/>
    </row>
    <row r="580" spans="1:19">
      <c r="A580" s="23" t="s">
        <v>111</v>
      </c>
      <c r="B580" s="23" t="s">
        <v>65</v>
      </c>
      <c r="C580" s="23" t="s">
        <v>14</v>
      </c>
      <c r="D580" s="23" t="s">
        <v>176</v>
      </c>
      <c r="E580" s="23">
        <v>1</v>
      </c>
      <c r="F580" s="23" t="s">
        <v>50</v>
      </c>
      <c r="G580" s="23" t="s">
        <v>149</v>
      </c>
      <c r="H580" s="23">
        <v>3</v>
      </c>
      <c r="I580" s="61">
        <v>53</v>
      </c>
      <c r="J580" s="23">
        <v>2000</v>
      </c>
      <c r="K580" s="23">
        <v>36</v>
      </c>
      <c r="L580" s="23">
        <v>1</v>
      </c>
      <c r="M580" s="23" t="s">
        <v>160</v>
      </c>
      <c r="N580" s="23">
        <v>0</v>
      </c>
      <c r="P580" s="23">
        <v>0</v>
      </c>
      <c r="S580" s="23"/>
    </row>
    <row r="581" spans="1:19">
      <c r="A581" s="23" t="s">
        <v>111</v>
      </c>
      <c r="B581" s="23" t="s">
        <v>65</v>
      </c>
      <c r="C581" s="23" t="s">
        <v>14</v>
      </c>
      <c r="D581" s="23" t="s">
        <v>176</v>
      </c>
      <c r="E581" s="23">
        <v>1</v>
      </c>
      <c r="F581" s="23" t="s">
        <v>50</v>
      </c>
      <c r="G581" s="23" t="s">
        <v>150</v>
      </c>
      <c r="H581" s="23">
        <v>4</v>
      </c>
      <c r="I581" s="61">
        <v>53</v>
      </c>
      <c r="J581" s="23">
        <v>2000</v>
      </c>
      <c r="K581" s="23">
        <v>36</v>
      </c>
      <c r="L581" s="23">
        <v>1</v>
      </c>
      <c r="M581" s="23" t="s">
        <v>161</v>
      </c>
      <c r="N581" s="23">
        <v>0</v>
      </c>
      <c r="P581" s="23">
        <v>0</v>
      </c>
      <c r="S581" s="23"/>
    </row>
    <row r="582" spans="1:19">
      <c r="A582" s="23" t="s">
        <v>111</v>
      </c>
      <c r="B582" s="23" t="s">
        <v>65</v>
      </c>
      <c r="C582" s="23" t="s">
        <v>14</v>
      </c>
      <c r="D582" s="23" t="s">
        <v>176</v>
      </c>
      <c r="E582" s="23">
        <v>1</v>
      </c>
      <c r="F582" s="23" t="s">
        <v>50</v>
      </c>
      <c r="G582" s="23" t="s">
        <v>151</v>
      </c>
      <c r="H582" s="23">
        <v>5</v>
      </c>
      <c r="I582" s="61">
        <v>53</v>
      </c>
      <c r="J582" s="23">
        <v>2000</v>
      </c>
      <c r="K582" s="23">
        <v>36</v>
      </c>
      <c r="L582" s="23">
        <v>1</v>
      </c>
      <c r="M582" s="23" t="s">
        <v>161</v>
      </c>
      <c r="N582" s="23">
        <v>0</v>
      </c>
      <c r="P582" s="23">
        <v>0</v>
      </c>
      <c r="S582" s="23"/>
    </row>
    <row r="583" spans="1:19">
      <c r="A583" s="23" t="s">
        <v>111</v>
      </c>
      <c r="B583" s="23" t="s">
        <v>65</v>
      </c>
      <c r="C583" s="23" t="s">
        <v>14</v>
      </c>
      <c r="D583" s="23" t="s">
        <v>176</v>
      </c>
      <c r="E583" s="23">
        <v>1</v>
      </c>
      <c r="F583" s="23" t="s">
        <v>50</v>
      </c>
      <c r="G583" s="23" t="s">
        <v>152</v>
      </c>
      <c r="H583" s="23">
        <v>6</v>
      </c>
      <c r="I583" s="61">
        <v>53</v>
      </c>
      <c r="J583" s="23">
        <v>2000</v>
      </c>
      <c r="K583" s="23">
        <v>36</v>
      </c>
      <c r="L583" s="23">
        <v>1</v>
      </c>
      <c r="M583" s="23" t="s">
        <v>160</v>
      </c>
      <c r="N583" s="23">
        <v>0</v>
      </c>
      <c r="P583" s="23">
        <v>0</v>
      </c>
      <c r="R583" s="23">
        <v>0</v>
      </c>
      <c r="S583" s="23"/>
    </row>
    <row r="584" spans="1:19">
      <c r="A584" s="23" t="s">
        <v>111</v>
      </c>
      <c r="B584" s="23" t="s">
        <v>65</v>
      </c>
      <c r="C584" s="23" t="s">
        <v>22</v>
      </c>
      <c r="D584" s="23" t="s">
        <v>176</v>
      </c>
      <c r="E584" s="23">
        <v>2</v>
      </c>
      <c r="F584" s="23" t="s">
        <v>52</v>
      </c>
      <c r="G584" s="23" t="s">
        <v>153</v>
      </c>
      <c r="H584" s="23">
        <v>1</v>
      </c>
      <c r="I584" s="61">
        <v>53</v>
      </c>
      <c r="J584" s="23">
        <v>2000</v>
      </c>
      <c r="K584" s="23">
        <v>36</v>
      </c>
      <c r="L584" s="23">
        <v>2</v>
      </c>
      <c r="M584" s="23" t="s">
        <v>160</v>
      </c>
      <c r="N584" s="23">
        <v>0</v>
      </c>
      <c r="P584" s="23">
        <v>0</v>
      </c>
      <c r="S584" s="23"/>
    </row>
    <row r="585" spans="1:19">
      <c r="A585" s="23" t="s">
        <v>111</v>
      </c>
      <c r="B585" s="23" t="s">
        <v>65</v>
      </c>
      <c r="C585" s="23" t="s">
        <v>22</v>
      </c>
      <c r="D585" s="23" t="s">
        <v>176</v>
      </c>
      <c r="E585" s="23">
        <v>2</v>
      </c>
      <c r="F585" s="23" t="s">
        <v>52</v>
      </c>
      <c r="G585" s="23" t="s">
        <v>154</v>
      </c>
      <c r="H585" s="23">
        <v>2</v>
      </c>
      <c r="I585" s="61">
        <v>53</v>
      </c>
      <c r="J585" s="23">
        <v>2000</v>
      </c>
      <c r="K585" s="23">
        <v>36</v>
      </c>
      <c r="L585" s="23">
        <v>2</v>
      </c>
      <c r="M585" s="23" t="s">
        <v>161</v>
      </c>
      <c r="N585" s="23">
        <v>0</v>
      </c>
      <c r="P585" s="23">
        <v>0</v>
      </c>
      <c r="S585" s="23"/>
    </row>
    <row r="586" spans="1:19">
      <c r="A586" s="23" t="s">
        <v>111</v>
      </c>
      <c r="B586" s="23" t="s">
        <v>65</v>
      </c>
      <c r="C586" s="23" t="s">
        <v>22</v>
      </c>
      <c r="D586" s="23" t="s">
        <v>176</v>
      </c>
      <c r="E586" s="23">
        <v>2</v>
      </c>
      <c r="F586" s="23" t="s">
        <v>51</v>
      </c>
      <c r="G586" s="23" t="s">
        <v>155</v>
      </c>
      <c r="H586" s="23">
        <v>3</v>
      </c>
      <c r="I586" s="61">
        <v>53</v>
      </c>
      <c r="J586" s="23">
        <v>2000</v>
      </c>
      <c r="K586" s="23">
        <v>36</v>
      </c>
      <c r="L586" s="23">
        <v>2</v>
      </c>
      <c r="M586" s="23" t="s">
        <v>161</v>
      </c>
      <c r="N586" s="23">
        <v>0</v>
      </c>
      <c r="P586" s="23">
        <v>0</v>
      </c>
      <c r="S586" s="23"/>
    </row>
    <row r="587" spans="1:19">
      <c r="A587" s="23" t="s">
        <v>111</v>
      </c>
      <c r="B587" s="23" t="s">
        <v>65</v>
      </c>
      <c r="C587" s="23" t="s">
        <v>22</v>
      </c>
      <c r="D587" s="23" t="s">
        <v>176</v>
      </c>
      <c r="E587" s="23">
        <v>2</v>
      </c>
      <c r="F587" s="23" t="s">
        <v>51</v>
      </c>
      <c r="G587" s="23" t="s">
        <v>156</v>
      </c>
      <c r="H587" s="23">
        <v>4</v>
      </c>
      <c r="I587" s="61">
        <v>53</v>
      </c>
      <c r="J587" s="23">
        <v>2000</v>
      </c>
      <c r="K587" s="23">
        <v>36</v>
      </c>
      <c r="L587" s="23">
        <v>2</v>
      </c>
      <c r="M587" s="23" t="s">
        <v>160</v>
      </c>
      <c r="N587" s="23">
        <v>0</v>
      </c>
      <c r="P587" s="23">
        <v>0</v>
      </c>
      <c r="S587" s="23"/>
    </row>
    <row r="588" spans="1:19">
      <c r="A588" s="23" t="s">
        <v>111</v>
      </c>
      <c r="B588" s="23" t="s">
        <v>65</v>
      </c>
      <c r="C588" s="23" t="s">
        <v>22</v>
      </c>
      <c r="D588" s="23" t="s">
        <v>176</v>
      </c>
      <c r="E588" s="23">
        <v>2</v>
      </c>
      <c r="F588" s="23" t="s">
        <v>51</v>
      </c>
      <c r="G588" s="23" t="s">
        <v>157</v>
      </c>
      <c r="H588" s="23">
        <v>5</v>
      </c>
      <c r="I588" s="61">
        <v>53</v>
      </c>
      <c r="J588" s="23">
        <v>2000</v>
      </c>
      <c r="K588" s="23">
        <v>36</v>
      </c>
      <c r="L588" s="23">
        <v>2</v>
      </c>
      <c r="M588" s="23" t="s">
        <v>161</v>
      </c>
      <c r="N588" s="23">
        <v>0</v>
      </c>
      <c r="P588" s="23">
        <v>0</v>
      </c>
      <c r="S588" s="26"/>
    </row>
    <row r="589" spans="1:19">
      <c r="A589" s="23" t="s">
        <v>111</v>
      </c>
      <c r="B589" s="23" t="s">
        <v>65</v>
      </c>
      <c r="C589" s="23" t="s">
        <v>22</v>
      </c>
      <c r="D589" s="23" t="s">
        <v>176</v>
      </c>
      <c r="E589" s="23">
        <v>2</v>
      </c>
      <c r="F589" s="23" t="s">
        <v>51</v>
      </c>
      <c r="G589" s="23" t="s">
        <v>158</v>
      </c>
      <c r="H589" s="23">
        <v>6</v>
      </c>
      <c r="I589" s="61">
        <v>53</v>
      </c>
      <c r="J589" s="23">
        <v>2000</v>
      </c>
      <c r="K589" s="23">
        <v>36</v>
      </c>
      <c r="L589" s="23">
        <v>2</v>
      </c>
      <c r="M589" s="23" t="s">
        <v>160</v>
      </c>
      <c r="N589" s="23">
        <v>1</v>
      </c>
      <c r="O589" s="23" t="s">
        <v>193</v>
      </c>
      <c r="P589" s="23">
        <v>1</v>
      </c>
      <c r="Q589" s="23" t="s">
        <v>193</v>
      </c>
      <c r="R589" s="23">
        <v>0</v>
      </c>
      <c r="S589" s="26">
        <v>10.957353557087758</v>
      </c>
    </row>
    <row r="590" spans="1:19">
      <c r="A590" s="23" t="s">
        <v>111</v>
      </c>
      <c r="B590" s="23" t="s">
        <v>65</v>
      </c>
      <c r="C590" s="23" t="s">
        <v>21</v>
      </c>
      <c r="D590" s="23" t="s">
        <v>176</v>
      </c>
      <c r="E590" s="23">
        <v>3</v>
      </c>
      <c r="F590" s="23" t="s">
        <v>58</v>
      </c>
      <c r="G590" s="23" t="s">
        <v>156</v>
      </c>
      <c r="H590" s="23">
        <v>1</v>
      </c>
      <c r="I590" s="61">
        <v>53</v>
      </c>
      <c r="J590" s="23">
        <v>2000</v>
      </c>
      <c r="K590" s="23">
        <v>36</v>
      </c>
      <c r="L590" s="23">
        <v>3</v>
      </c>
      <c r="M590" s="23" t="s">
        <v>161</v>
      </c>
      <c r="N590" s="23">
        <v>0</v>
      </c>
      <c r="P590" s="23">
        <v>0</v>
      </c>
      <c r="S590" s="23"/>
    </row>
    <row r="591" spans="1:19">
      <c r="A591" s="23" t="s">
        <v>111</v>
      </c>
      <c r="B591" s="23" t="s">
        <v>65</v>
      </c>
      <c r="C591" s="23" t="s">
        <v>21</v>
      </c>
      <c r="D591" s="23" t="s">
        <v>176</v>
      </c>
      <c r="E591" s="23">
        <v>3</v>
      </c>
      <c r="F591" s="23" t="s">
        <v>58</v>
      </c>
      <c r="G591" s="23" t="s">
        <v>157</v>
      </c>
      <c r="H591" s="23">
        <v>2</v>
      </c>
      <c r="I591" s="61">
        <v>53</v>
      </c>
      <c r="J591" s="23">
        <v>2000</v>
      </c>
      <c r="K591" s="23">
        <v>36</v>
      </c>
      <c r="L591" s="23">
        <v>3</v>
      </c>
      <c r="M591" s="23" t="s">
        <v>160</v>
      </c>
      <c r="N591" s="23">
        <v>0</v>
      </c>
      <c r="P591" s="23">
        <v>0</v>
      </c>
      <c r="S591" s="23"/>
    </row>
    <row r="592" spans="1:19">
      <c r="A592" s="23" t="s">
        <v>111</v>
      </c>
      <c r="B592" s="23" t="s">
        <v>65</v>
      </c>
      <c r="C592" s="23" t="s">
        <v>21</v>
      </c>
      <c r="D592" s="23" t="s">
        <v>176</v>
      </c>
      <c r="E592" s="23">
        <v>3</v>
      </c>
      <c r="F592" s="23" t="s">
        <v>58</v>
      </c>
      <c r="G592" s="23" t="s">
        <v>153</v>
      </c>
      <c r="H592" s="23">
        <v>3</v>
      </c>
      <c r="I592" s="61">
        <v>53</v>
      </c>
      <c r="J592" s="23">
        <v>2000</v>
      </c>
      <c r="K592" s="23">
        <v>36</v>
      </c>
      <c r="L592" s="23">
        <v>3</v>
      </c>
      <c r="M592" s="23" t="s">
        <v>161</v>
      </c>
      <c r="N592" s="23">
        <v>0</v>
      </c>
      <c r="P592" s="23">
        <v>0</v>
      </c>
      <c r="S592" s="23"/>
    </row>
    <row r="593" spans="1:19">
      <c r="A593" s="23" t="s">
        <v>111</v>
      </c>
      <c r="B593" s="23" t="s">
        <v>65</v>
      </c>
      <c r="C593" s="23" t="s">
        <v>21</v>
      </c>
      <c r="D593" s="23" t="s">
        <v>176</v>
      </c>
      <c r="E593" s="23">
        <v>3</v>
      </c>
      <c r="F593" s="23" t="s">
        <v>58</v>
      </c>
      <c r="G593" s="23" t="s">
        <v>158</v>
      </c>
      <c r="H593" s="23">
        <v>4</v>
      </c>
      <c r="I593" s="61">
        <v>53</v>
      </c>
      <c r="J593" s="23">
        <v>2000</v>
      </c>
      <c r="K593" s="23">
        <v>36</v>
      </c>
      <c r="L593" s="23">
        <v>3</v>
      </c>
      <c r="M593" s="23" t="s">
        <v>161</v>
      </c>
      <c r="N593" s="23">
        <v>0</v>
      </c>
      <c r="P593" s="23">
        <v>0</v>
      </c>
      <c r="S593" s="23"/>
    </row>
    <row r="594" spans="1:19">
      <c r="A594" s="23" t="s">
        <v>111</v>
      </c>
      <c r="B594" s="23" t="s">
        <v>65</v>
      </c>
      <c r="C594" s="23" t="s">
        <v>21</v>
      </c>
      <c r="D594" s="23" t="s">
        <v>176</v>
      </c>
      <c r="E594" s="23">
        <v>3</v>
      </c>
      <c r="F594" s="23" t="s">
        <v>58</v>
      </c>
      <c r="G594" s="23" t="s">
        <v>155</v>
      </c>
      <c r="H594" s="23">
        <v>5</v>
      </c>
      <c r="I594" s="61">
        <v>53</v>
      </c>
      <c r="J594" s="23">
        <v>2000</v>
      </c>
      <c r="K594" s="23">
        <v>36</v>
      </c>
      <c r="L594" s="23">
        <v>3</v>
      </c>
      <c r="M594" s="23" t="s">
        <v>160</v>
      </c>
      <c r="N594" s="23">
        <v>1</v>
      </c>
      <c r="O594" s="23" t="s">
        <v>193</v>
      </c>
      <c r="P594" s="23">
        <v>1</v>
      </c>
      <c r="Q594" s="23" t="s">
        <v>193</v>
      </c>
      <c r="S594" s="26"/>
    </row>
    <row r="595" spans="1:19">
      <c r="A595" s="23" t="s">
        <v>111</v>
      </c>
      <c r="B595" s="23" t="s">
        <v>65</v>
      </c>
      <c r="C595" s="23" t="s">
        <v>21</v>
      </c>
      <c r="D595" s="23" t="s">
        <v>176</v>
      </c>
      <c r="E595" s="23">
        <v>3</v>
      </c>
      <c r="F595" s="23" t="s">
        <v>58</v>
      </c>
      <c r="G595" s="23" t="s">
        <v>154</v>
      </c>
      <c r="H595" s="23">
        <v>6</v>
      </c>
      <c r="I595" s="61">
        <v>53</v>
      </c>
      <c r="J595" s="23">
        <v>2000</v>
      </c>
      <c r="K595" s="23">
        <v>36</v>
      </c>
      <c r="L595" s="23">
        <v>3</v>
      </c>
      <c r="M595" s="23" t="s">
        <v>160</v>
      </c>
      <c r="N595" s="23">
        <v>1</v>
      </c>
      <c r="O595" s="23" t="s">
        <v>193</v>
      </c>
      <c r="P595" s="23">
        <v>1</v>
      </c>
      <c r="Q595" s="23" t="s">
        <v>193</v>
      </c>
      <c r="R595" s="23">
        <v>1</v>
      </c>
      <c r="S595" s="26">
        <v>2.4772259233591258</v>
      </c>
    </row>
    <row r="596" spans="1:19">
      <c r="A596" s="23" t="s">
        <v>63</v>
      </c>
      <c r="B596" s="23" t="s">
        <v>65</v>
      </c>
      <c r="C596" s="23" t="s">
        <v>22</v>
      </c>
      <c r="D596" s="23" t="s">
        <v>179</v>
      </c>
      <c r="E596" s="23">
        <v>1</v>
      </c>
      <c r="F596" s="23" t="s">
        <v>50</v>
      </c>
      <c r="G596" s="23" t="s">
        <v>147</v>
      </c>
      <c r="H596" s="23">
        <v>1</v>
      </c>
      <c r="I596" s="61">
        <v>27</v>
      </c>
      <c r="J596" s="23">
        <v>10000</v>
      </c>
      <c r="K596" s="23">
        <v>10</v>
      </c>
      <c r="L596" s="23">
        <v>1</v>
      </c>
      <c r="M596" s="23" t="s">
        <v>160</v>
      </c>
      <c r="N596" s="23">
        <v>0</v>
      </c>
      <c r="P596" s="23">
        <v>0</v>
      </c>
      <c r="S596" s="23"/>
    </row>
    <row r="597" spans="1:19">
      <c r="A597" s="23" t="s">
        <v>63</v>
      </c>
      <c r="B597" s="23" t="s">
        <v>65</v>
      </c>
      <c r="C597" s="23" t="s">
        <v>22</v>
      </c>
      <c r="D597" s="23" t="s">
        <v>179</v>
      </c>
      <c r="E597" s="23">
        <v>1</v>
      </c>
      <c r="F597" s="23" t="s">
        <v>50</v>
      </c>
      <c r="G597" s="23" t="s">
        <v>148</v>
      </c>
      <c r="H597" s="23">
        <v>2</v>
      </c>
      <c r="I597" s="61">
        <v>27</v>
      </c>
      <c r="J597" s="23">
        <v>10000</v>
      </c>
      <c r="K597" s="23">
        <v>10</v>
      </c>
      <c r="L597" s="23">
        <v>1</v>
      </c>
      <c r="M597" s="23" t="s">
        <v>161</v>
      </c>
      <c r="N597" s="23">
        <v>0</v>
      </c>
      <c r="P597" s="23">
        <v>0</v>
      </c>
      <c r="S597" s="23"/>
    </row>
    <row r="598" spans="1:19">
      <c r="A598" s="23" t="s">
        <v>134</v>
      </c>
      <c r="B598" s="23" t="s">
        <v>65</v>
      </c>
      <c r="C598" s="23" t="s">
        <v>22</v>
      </c>
      <c r="D598" s="23" t="s">
        <v>178</v>
      </c>
      <c r="E598" s="23">
        <v>1</v>
      </c>
      <c r="F598" s="23" t="s">
        <v>50</v>
      </c>
      <c r="G598" s="23" t="s">
        <v>149</v>
      </c>
      <c r="H598" s="23">
        <v>3</v>
      </c>
      <c r="I598" s="61">
        <v>27</v>
      </c>
      <c r="J598" s="23">
        <v>10000</v>
      </c>
      <c r="K598" s="23">
        <v>10</v>
      </c>
      <c r="L598" s="23">
        <v>1</v>
      </c>
      <c r="M598" s="23" t="s">
        <v>160</v>
      </c>
      <c r="N598" s="23">
        <v>0</v>
      </c>
      <c r="P598" s="23">
        <v>0</v>
      </c>
      <c r="S598" s="23"/>
    </row>
    <row r="599" spans="1:19">
      <c r="A599" s="23" t="s">
        <v>134</v>
      </c>
      <c r="B599" s="23" t="s">
        <v>65</v>
      </c>
      <c r="C599" s="23" t="s">
        <v>22</v>
      </c>
      <c r="D599" s="23" t="s">
        <v>178</v>
      </c>
      <c r="E599" s="23">
        <v>1</v>
      </c>
      <c r="F599" s="23" t="s">
        <v>50</v>
      </c>
      <c r="G599" s="23" t="s">
        <v>150</v>
      </c>
      <c r="H599" s="23">
        <v>4</v>
      </c>
      <c r="I599" s="61">
        <v>27</v>
      </c>
      <c r="J599" s="23">
        <v>10000</v>
      </c>
      <c r="K599" s="23">
        <v>10</v>
      </c>
      <c r="L599" s="23">
        <v>1</v>
      </c>
      <c r="M599" s="23" t="s">
        <v>161</v>
      </c>
      <c r="N599" s="23">
        <v>0</v>
      </c>
      <c r="P599" s="23">
        <v>0</v>
      </c>
      <c r="S599" s="23"/>
    </row>
    <row r="600" spans="1:19">
      <c r="A600" s="23" t="s">
        <v>134</v>
      </c>
      <c r="B600" s="23" t="s">
        <v>65</v>
      </c>
      <c r="C600" s="23" t="s">
        <v>22</v>
      </c>
      <c r="D600" s="23" t="s">
        <v>178</v>
      </c>
      <c r="E600" s="23">
        <v>1</v>
      </c>
      <c r="F600" s="23" t="s">
        <v>50</v>
      </c>
      <c r="G600" s="23" t="s">
        <v>151</v>
      </c>
      <c r="H600" s="23">
        <v>5</v>
      </c>
      <c r="I600" s="61">
        <v>27</v>
      </c>
      <c r="J600" s="23">
        <v>10000</v>
      </c>
      <c r="K600" s="23">
        <v>10</v>
      </c>
      <c r="L600" s="23">
        <v>1</v>
      </c>
      <c r="M600" s="23" t="s">
        <v>161</v>
      </c>
      <c r="N600" s="23">
        <v>0</v>
      </c>
      <c r="P600" s="23">
        <v>0</v>
      </c>
      <c r="S600" s="23"/>
    </row>
    <row r="601" spans="1:19">
      <c r="A601" s="23" t="s">
        <v>134</v>
      </c>
      <c r="B601" s="23" t="s">
        <v>65</v>
      </c>
      <c r="C601" s="23" t="s">
        <v>22</v>
      </c>
      <c r="D601" s="23" t="s">
        <v>178</v>
      </c>
      <c r="E601" s="23">
        <v>1</v>
      </c>
      <c r="F601" s="23" t="s">
        <v>50</v>
      </c>
      <c r="G601" s="23" t="s">
        <v>152</v>
      </c>
      <c r="H601" s="23">
        <v>6</v>
      </c>
      <c r="I601" s="61">
        <v>27</v>
      </c>
      <c r="J601" s="23">
        <v>10000</v>
      </c>
      <c r="K601" s="23">
        <v>10</v>
      </c>
      <c r="L601" s="23">
        <v>1</v>
      </c>
      <c r="M601" s="23" t="s">
        <v>160</v>
      </c>
      <c r="N601" s="23">
        <v>1</v>
      </c>
      <c r="O601" s="23" t="s">
        <v>190</v>
      </c>
      <c r="P601" s="23">
        <v>1</v>
      </c>
      <c r="Q601" s="23" t="s">
        <v>190</v>
      </c>
      <c r="R601" s="23">
        <v>0</v>
      </c>
      <c r="S601" s="23">
        <v>4.5003719016540726</v>
      </c>
    </row>
    <row r="602" spans="1:19">
      <c r="A602" s="23" t="s">
        <v>134</v>
      </c>
      <c r="B602" s="23" t="s">
        <v>65</v>
      </c>
      <c r="C602" s="23" t="s">
        <v>21</v>
      </c>
      <c r="D602" s="23" t="s">
        <v>178</v>
      </c>
      <c r="E602" s="23">
        <v>2</v>
      </c>
      <c r="F602" s="23" t="s">
        <v>52</v>
      </c>
      <c r="G602" s="23" t="s">
        <v>153</v>
      </c>
      <c r="H602" s="23">
        <v>1</v>
      </c>
      <c r="I602" s="61">
        <v>27</v>
      </c>
      <c r="J602" s="23">
        <v>10000</v>
      </c>
      <c r="K602" s="23">
        <v>10</v>
      </c>
      <c r="L602" s="23">
        <v>2</v>
      </c>
      <c r="M602" s="23" t="s">
        <v>160</v>
      </c>
      <c r="N602" s="23">
        <v>0</v>
      </c>
      <c r="P602" s="23">
        <v>0</v>
      </c>
      <c r="S602" s="23"/>
    </row>
    <row r="603" spans="1:19">
      <c r="A603" s="23" t="s">
        <v>134</v>
      </c>
      <c r="B603" s="23" t="s">
        <v>65</v>
      </c>
      <c r="C603" s="23" t="s">
        <v>21</v>
      </c>
      <c r="D603" s="23" t="s">
        <v>178</v>
      </c>
      <c r="E603" s="23">
        <v>2</v>
      </c>
      <c r="F603" s="23" t="s">
        <v>52</v>
      </c>
      <c r="G603" s="23" t="s">
        <v>154</v>
      </c>
      <c r="H603" s="23">
        <v>2</v>
      </c>
      <c r="I603" s="61">
        <v>27</v>
      </c>
      <c r="J603" s="23">
        <v>10000</v>
      </c>
      <c r="K603" s="23">
        <v>10</v>
      </c>
      <c r="L603" s="23">
        <v>2</v>
      </c>
      <c r="M603" s="23" t="s">
        <v>161</v>
      </c>
      <c r="N603" s="23">
        <v>0</v>
      </c>
      <c r="P603" s="23">
        <v>0</v>
      </c>
      <c r="S603" s="23"/>
    </row>
    <row r="604" spans="1:19">
      <c r="A604" s="23" t="s">
        <v>134</v>
      </c>
      <c r="B604" s="23" t="s">
        <v>65</v>
      </c>
      <c r="C604" s="23" t="s">
        <v>21</v>
      </c>
      <c r="D604" s="23" t="s">
        <v>178</v>
      </c>
      <c r="E604" s="23">
        <v>2</v>
      </c>
      <c r="F604" s="23" t="s">
        <v>51</v>
      </c>
      <c r="G604" s="23" t="s">
        <v>155</v>
      </c>
      <c r="H604" s="23">
        <v>3</v>
      </c>
      <c r="I604" s="61">
        <v>27</v>
      </c>
      <c r="J604" s="23">
        <v>10000</v>
      </c>
      <c r="K604" s="23">
        <v>10</v>
      </c>
      <c r="L604" s="23">
        <v>2</v>
      </c>
      <c r="M604" s="23" t="s">
        <v>161</v>
      </c>
      <c r="N604" s="23">
        <v>0</v>
      </c>
      <c r="P604" s="23">
        <v>0</v>
      </c>
      <c r="S604" s="23"/>
    </row>
    <row r="605" spans="1:19">
      <c r="A605" s="23" t="s">
        <v>134</v>
      </c>
      <c r="B605" s="23" t="s">
        <v>65</v>
      </c>
      <c r="C605" s="23" t="s">
        <v>21</v>
      </c>
      <c r="D605" s="23" t="s">
        <v>178</v>
      </c>
      <c r="E605" s="23">
        <v>2</v>
      </c>
      <c r="F605" s="23" t="s">
        <v>51</v>
      </c>
      <c r="G605" s="23" t="s">
        <v>156</v>
      </c>
      <c r="H605" s="23">
        <v>4</v>
      </c>
      <c r="I605" s="61">
        <v>27</v>
      </c>
      <c r="J605" s="23">
        <v>10000</v>
      </c>
      <c r="K605" s="23">
        <v>10</v>
      </c>
      <c r="L605" s="23">
        <v>2</v>
      </c>
      <c r="M605" s="23" t="s">
        <v>160</v>
      </c>
      <c r="N605" s="23">
        <v>0</v>
      </c>
      <c r="P605" s="23">
        <v>0</v>
      </c>
      <c r="S605" s="23"/>
    </row>
    <row r="606" spans="1:19">
      <c r="A606" s="23" t="s">
        <v>134</v>
      </c>
      <c r="B606" s="23" t="s">
        <v>65</v>
      </c>
      <c r="C606" s="23" t="s">
        <v>21</v>
      </c>
      <c r="D606" s="23" t="s">
        <v>178</v>
      </c>
      <c r="E606" s="23">
        <v>2</v>
      </c>
      <c r="F606" s="23" t="s">
        <v>51</v>
      </c>
      <c r="G606" s="23" t="s">
        <v>157</v>
      </c>
      <c r="H606" s="23">
        <v>5</v>
      </c>
      <c r="I606" s="61">
        <v>27</v>
      </c>
      <c r="J606" s="23">
        <v>10000</v>
      </c>
      <c r="K606" s="23">
        <v>10</v>
      </c>
      <c r="L606" s="23">
        <v>2</v>
      </c>
      <c r="M606" s="23" t="s">
        <v>161</v>
      </c>
      <c r="N606" s="23">
        <v>0</v>
      </c>
      <c r="P606" s="23">
        <v>0</v>
      </c>
      <c r="S606" s="26"/>
    </row>
    <row r="607" spans="1:19">
      <c r="A607" s="23" t="s">
        <v>134</v>
      </c>
      <c r="B607" s="23" t="s">
        <v>65</v>
      </c>
      <c r="C607" s="23" t="s">
        <v>21</v>
      </c>
      <c r="D607" s="23" t="s">
        <v>178</v>
      </c>
      <c r="E607" s="23">
        <v>2</v>
      </c>
      <c r="F607" s="23" t="s">
        <v>51</v>
      </c>
      <c r="G607" s="23" t="s">
        <v>158</v>
      </c>
      <c r="H607" s="23">
        <v>6</v>
      </c>
      <c r="I607" s="61">
        <v>27</v>
      </c>
      <c r="J607" s="23">
        <v>10000</v>
      </c>
      <c r="K607" s="23">
        <v>10</v>
      </c>
      <c r="L607" s="23">
        <v>2</v>
      </c>
      <c r="M607" s="23" t="s">
        <v>160</v>
      </c>
      <c r="N607" s="23">
        <v>1</v>
      </c>
      <c r="O607" s="23" t="s">
        <v>190</v>
      </c>
      <c r="P607" s="23">
        <v>1</v>
      </c>
      <c r="Q607" s="23" t="s">
        <v>190</v>
      </c>
      <c r="R607" s="23">
        <v>0</v>
      </c>
      <c r="S607" s="26">
        <v>5.4661905854551769</v>
      </c>
    </row>
    <row r="608" spans="1:19">
      <c r="A608" s="23" t="s">
        <v>134</v>
      </c>
      <c r="B608" s="23" t="s">
        <v>65</v>
      </c>
      <c r="C608" s="23" t="s">
        <v>14</v>
      </c>
      <c r="D608" s="23" t="s">
        <v>178</v>
      </c>
      <c r="E608" s="23">
        <v>3</v>
      </c>
      <c r="F608" s="23" t="s">
        <v>58</v>
      </c>
      <c r="G608" s="23" t="s">
        <v>156</v>
      </c>
      <c r="H608" s="23">
        <v>1</v>
      </c>
      <c r="I608" s="61">
        <v>27</v>
      </c>
      <c r="J608" s="23">
        <v>10000</v>
      </c>
      <c r="K608" s="23">
        <v>10</v>
      </c>
      <c r="L608" s="23">
        <v>3</v>
      </c>
      <c r="M608" s="23" t="s">
        <v>161</v>
      </c>
      <c r="N608" s="23">
        <v>0</v>
      </c>
      <c r="P608" s="23">
        <v>0</v>
      </c>
      <c r="S608" s="23"/>
    </row>
    <row r="609" spans="1:19">
      <c r="A609" s="23" t="s">
        <v>134</v>
      </c>
      <c r="B609" s="23" t="s">
        <v>65</v>
      </c>
      <c r="C609" s="23" t="s">
        <v>14</v>
      </c>
      <c r="D609" s="23" t="s">
        <v>178</v>
      </c>
      <c r="E609" s="23">
        <v>3</v>
      </c>
      <c r="F609" s="23" t="s">
        <v>58</v>
      </c>
      <c r="G609" s="23" t="s">
        <v>157</v>
      </c>
      <c r="H609" s="23">
        <v>2</v>
      </c>
      <c r="I609" s="61">
        <v>27</v>
      </c>
      <c r="J609" s="23">
        <v>10000</v>
      </c>
      <c r="K609" s="23">
        <v>10</v>
      </c>
      <c r="L609" s="23">
        <v>3</v>
      </c>
      <c r="M609" s="23" t="s">
        <v>160</v>
      </c>
      <c r="N609" s="23">
        <v>1</v>
      </c>
      <c r="O609" s="23" t="s">
        <v>190</v>
      </c>
      <c r="P609" s="23">
        <v>1</v>
      </c>
      <c r="S609" s="23"/>
    </row>
    <row r="610" spans="1:19">
      <c r="A610" s="23" t="s">
        <v>134</v>
      </c>
      <c r="B610" s="23" t="s">
        <v>65</v>
      </c>
      <c r="C610" s="23" t="s">
        <v>14</v>
      </c>
      <c r="D610" s="23" t="s">
        <v>178</v>
      </c>
      <c r="E610" s="23">
        <v>3</v>
      </c>
      <c r="F610" s="23" t="s">
        <v>58</v>
      </c>
      <c r="G610" s="23" t="s">
        <v>153</v>
      </c>
      <c r="H610" s="23">
        <v>3</v>
      </c>
      <c r="I610" s="61">
        <v>27</v>
      </c>
      <c r="J610" s="23">
        <v>10000</v>
      </c>
      <c r="K610" s="23">
        <v>10</v>
      </c>
      <c r="L610" s="23">
        <v>3</v>
      </c>
      <c r="M610" s="23" t="s">
        <v>161</v>
      </c>
      <c r="N610" s="23">
        <v>0</v>
      </c>
      <c r="P610" s="23">
        <v>0</v>
      </c>
      <c r="S610" s="23"/>
    </row>
    <row r="611" spans="1:19">
      <c r="A611" s="23" t="s">
        <v>134</v>
      </c>
      <c r="B611" s="23" t="s">
        <v>65</v>
      </c>
      <c r="C611" s="23" t="s">
        <v>14</v>
      </c>
      <c r="D611" s="23" t="s">
        <v>178</v>
      </c>
      <c r="E611" s="23">
        <v>3</v>
      </c>
      <c r="F611" s="23" t="s">
        <v>58</v>
      </c>
      <c r="G611" s="23" t="s">
        <v>158</v>
      </c>
      <c r="H611" s="23">
        <v>4</v>
      </c>
      <c r="I611" s="61">
        <v>27</v>
      </c>
      <c r="J611" s="23">
        <v>10000</v>
      </c>
      <c r="K611" s="23">
        <v>10</v>
      </c>
      <c r="L611" s="23">
        <v>3</v>
      </c>
      <c r="M611" s="23" t="s">
        <v>161</v>
      </c>
      <c r="N611" s="23">
        <v>0</v>
      </c>
      <c r="P611" s="23">
        <v>0</v>
      </c>
      <c r="S611" s="23"/>
    </row>
    <row r="612" spans="1:19">
      <c r="A612" s="23" t="s">
        <v>134</v>
      </c>
      <c r="B612" s="23" t="s">
        <v>65</v>
      </c>
      <c r="C612" s="23" t="s">
        <v>14</v>
      </c>
      <c r="D612" s="23" t="s">
        <v>178</v>
      </c>
      <c r="E612" s="23">
        <v>3</v>
      </c>
      <c r="F612" s="23" t="s">
        <v>58</v>
      </c>
      <c r="G612" s="23" t="s">
        <v>155</v>
      </c>
      <c r="H612" s="23">
        <v>5</v>
      </c>
      <c r="I612" s="61">
        <v>27</v>
      </c>
      <c r="J612" s="23">
        <v>10000</v>
      </c>
      <c r="K612" s="23">
        <v>10</v>
      </c>
      <c r="L612" s="23">
        <v>3</v>
      </c>
      <c r="M612" s="23" t="s">
        <v>160</v>
      </c>
      <c r="N612" s="23">
        <v>0</v>
      </c>
      <c r="P612" s="23">
        <v>0</v>
      </c>
      <c r="S612" s="26"/>
    </row>
    <row r="613" spans="1:19">
      <c r="A613" s="23" t="s">
        <v>134</v>
      </c>
      <c r="B613" s="23" t="s">
        <v>65</v>
      </c>
      <c r="C613" s="23" t="s">
        <v>14</v>
      </c>
      <c r="D613" s="23" t="s">
        <v>178</v>
      </c>
      <c r="E613" s="23">
        <v>3</v>
      </c>
      <c r="F613" s="23" t="s">
        <v>58</v>
      </c>
      <c r="G613" s="23" t="s">
        <v>154</v>
      </c>
      <c r="H613" s="23">
        <v>6</v>
      </c>
      <c r="I613" s="61">
        <v>27</v>
      </c>
      <c r="J613" s="23">
        <v>10000</v>
      </c>
      <c r="K613" s="23">
        <v>10</v>
      </c>
      <c r="L613" s="23">
        <v>3</v>
      </c>
      <c r="M613" s="23" t="s">
        <v>160</v>
      </c>
      <c r="N613" s="23">
        <v>1</v>
      </c>
      <c r="O613" s="23" t="s">
        <v>190</v>
      </c>
      <c r="P613" s="23">
        <v>1</v>
      </c>
      <c r="R613" s="23">
        <v>0</v>
      </c>
      <c r="S613" s="26">
        <v>6.1868806947149251</v>
      </c>
    </row>
    <row r="614" spans="1:19">
      <c r="A614" s="23" t="s">
        <v>67</v>
      </c>
      <c r="B614" s="23" t="s">
        <v>65</v>
      </c>
      <c r="C614" s="23" t="s">
        <v>21</v>
      </c>
      <c r="D614" s="23" t="s">
        <v>181</v>
      </c>
      <c r="E614" s="23">
        <v>1</v>
      </c>
      <c r="F614" s="23" t="s">
        <v>50</v>
      </c>
      <c r="G614" s="23" t="s">
        <v>147</v>
      </c>
      <c r="H614" s="23">
        <v>1</v>
      </c>
      <c r="I614" s="61">
        <v>30</v>
      </c>
      <c r="J614" s="23">
        <v>10000</v>
      </c>
      <c r="K614" s="23">
        <v>12.83</v>
      </c>
      <c r="L614" s="23">
        <v>1</v>
      </c>
      <c r="M614" s="23" t="s">
        <v>160</v>
      </c>
      <c r="N614" s="23">
        <v>0</v>
      </c>
      <c r="P614" s="23">
        <v>0</v>
      </c>
      <c r="S614" s="23"/>
    </row>
    <row r="615" spans="1:19">
      <c r="A615" s="23" t="s">
        <v>67</v>
      </c>
      <c r="B615" s="23" t="s">
        <v>65</v>
      </c>
      <c r="C615" s="23" t="s">
        <v>21</v>
      </c>
      <c r="D615" s="23" t="s">
        <v>181</v>
      </c>
      <c r="E615" s="23">
        <v>1</v>
      </c>
      <c r="F615" s="23" t="s">
        <v>50</v>
      </c>
      <c r="G615" s="23" t="s">
        <v>148</v>
      </c>
      <c r="H615" s="23">
        <v>2</v>
      </c>
      <c r="I615" s="61">
        <v>30</v>
      </c>
      <c r="J615" s="23">
        <v>10000</v>
      </c>
      <c r="K615" s="23">
        <v>12.83</v>
      </c>
      <c r="L615" s="23">
        <v>1</v>
      </c>
      <c r="M615" s="23" t="s">
        <v>161</v>
      </c>
      <c r="N615" s="23">
        <v>0</v>
      </c>
      <c r="P615" s="23">
        <v>0</v>
      </c>
      <c r="S615" s="23"/>
    </row>
    <row r="616" spans="1:19">
      <c r="A616" s="23" t="s">
        <v>135</v>
      </c>
      <c r="B616" s="23" t="s">
        <v>65</v>
      </c>
      <c r="C616" s="23" t="s">
        <v>21</v>
      </c>
      <c r="D616" s="23" t="s">
        <v>180</v>
      </c>
      <c r="E616" s="23">
        <v>1</v>
      </c>
      <c r="F616" s="23" t="s">
        <v>50</v>
      </c>
      <c r="G616" s="23" t="s">
        <v>149</v>
      </c>
      <c r="H616" s="23">
        <v>3</v>
      </c>
      <c r="I616" s="61">
        <v>30</v>
      </c>
      <c r="J616" s="23">
        <v>10000</v>
      </c>
      <c r="K616" s="23">
        <v>12.83</v>
      </c>
      <c r="L616" s="23">
        <v>1</v>
      </c>
      <c r="M616" s="23" t="s">
        <v>160</v>
      </c>
      <c r="N616" s="23">
        <v>0</v>
      </c>
      <c r="P616" s="23">
        <v>0</v>
      </c>
      <c r="S616" s="23"/>
    </row>
    <row r="617" spans="1:19">
      <c r="A617" s="23" t="s">
        <v>135</v>
      </c>
      <c r="B617" s="23" t="s">
        <v>65</v>
      </c>
      <c r="C617" s="23" t="s">
        <v>21</v>
      </c>
      <c r="D617" s="23" t="s">
        <v>180</v>
      </c>
      <c r="E617" s="23">
        <v>1</v>
      </c>
      <c r="F617" s="23" t="s">
        <v>50</v>
      </c>
      <c r="G617" s="23" t="s">
        <v>150</v>
      </c>
      <c r="H617" s="23">
        <v>4</v>
      </c>
      <c r="I617" s="61">
        <v>30</v>
      </c>
      <c r="J617" s="23">
        <v>10000</v>
      </c>
      <c r="K617" s="23">
        <v>12.83</v>
      </c>
      <c r="L617" s="23">
        <v>1</v>
      </c>
      <c r="M617" s="23" t="s">
        <v>161</v>
      </c>
      <c r="N617" s="23">
        <v>0</v>
      </c>
      <c r="P617" s="23">
        <v>0</v>
      </c>
      <c r="S617" s="23"/>
    </row>
    <row r="618" spans="1:19">
      <c r="A618" s="23" t="s">
        <v>135</v>
      </c>
      <c r="B618" s="23" t="s">
        <v>65</v>
      </c>
      <c r="C618" s="23" t="s">
        <v>21</v>
      </c>
      <c r="D618" s="23" t="s">
        <v>180</v>
      </c>
      <c r="E618" s="23">
        <v>1</v>
      </c>
      <c r="F618" s="23" t="s">
        <v>50</v>
      </c>
      <c r="G618" s="23" t="s">
        <v>151</v>
      </c>
      <c r="H618" s="23">
        <v>5</v>
      </c>
      <c r="I618" s="61">
        <v>30</v>
      </c>
      <c r="J618" s="23">
        <v>10000</v>
      </c>
      <c r="K618" s="23">
        <v>12.83</v>
      </c>
      <c r="L618" s="23">
        <v>1</v>
      </c>
      <c r="M618" s="23" t="s">
        <v>161</v>
      </c>
      <c r="N618" s="23">
        <v>0</v>
      </c>
      <c r="P618" s="23">
        <v>0</v>
      </c>
      <c r="S618" s="23"/>
    </row>
    <row r="619" spans="1:19">
      <c r="A619" s="23" t="s">
        <v>135</v>
      </c>
      <c r="B619" s="23" t="s">
        <v>65</v>
      </c>
      <c r="C619" s="23" t="s">
        <v>21</v>
      </c>
      <c r="D619" s="23" t="s">
        <v>180</v>
      </c>
      <c r="E619" s="23">
        <v>1</v>
      </c>
      <c r="F619" s="23" t="s">
        <v>50</v>
      </c>
      <c r="G619" s="23" t="s">
        <v>152</v>
      </c>
      <c r="H619" s="23">
        <v>6</v>
      </c>
      <c r="I619" s="61">
        <v>30</v>
      </c>
      <c r="J619" s="23">
        <v>10000</v>
      </c>
      <c r="K619" s="23">
        <v>12.83</v>
      </c>
      <c r="L619" s="23">
        <v>1</v>
      </c>
      <c r="M619" s="23" t="s">
        <v>160</v>
      </c>
      <c r="N619" s="23">
        <v>1</v>
      </c>
      <c r="O619" s="23" t="s">
        <v>190</v>
      </c>
      <c r="P619" s="23">
        <v>1</v>
      </c>
      <c r="Q619" s="23" t="s">
        <v>190</v>
      </c>
      <c r="R619" s="23">
        <v>0</v>
      </c>
      <c r="S619" s="23">
        <v>3.8424732750459221</v>
      </c>
    </row>
    <row r="620" spans="1:19">
      <c r="A620" s="23" t="s">
        <v>135</v>
      </c>
      <c r="B620" s="23" t="s">
        <v>65</v>
      </c>
      <c r="C620" s="23" t="s">
        <v>14</v>
      </c>
      <c r="D620" s="23" t="s">
        <v>180</v>
      </c>
      <c r="E620" s="23">
        <v>2</v>
      </c>
      <c r="F620" s="23" t="s">
        <v>52</v>
      </c>
      <c r="G620" s="23" t="s">
        <v>153</v>
      </c>
      <c r="H620" s="23">
        <v>1</v>
      </c>
      <c r="I620" s="61">
        <v>30</v>
      </c>
      <c r="J620" s="23">
        <v>10000</v>
      </c>
      <c r="K620" s="23">
        <v>12.83</v>
      </c>
      <c r="L620" s="23">
        <v>2</v>
      </c>
      <c r="M620" s="23" t="s">
        <v>160</v>
      </c>
      <c r="N620" s="23">
        <v>1</v>
      </c>
      <c r="O620" s="23" t="s">
        <v>190</v>
      </c>
      <c r="P620" s="23">
        <v>1</v>
      </c>
      <c r="S620" s="23"/>
    </row>
    <row r="621" spans="1:19">
      <c r="A621" s="23" t="s">
        <v>135</v>
      </c>
      <c r="B621" s="23" t="s">
        <v>65</v>
      </c>
      <c r="C621" s="23" t="s">
        <v>14</v>
      </c>
      <c r="D621" s="23" t="s">
        <v>180</v>
      </c>
      <c r="E621" s="23">
        <v>2</v>
      </c>
      <c r="F621" s="23" t="s">
        <v>52</v>
      </c>
      <c r="G621" s="23" t="s">
        <v>154</v>
      </c>
      <c r="H621" s="23">
        <v>2</v>
      </c>
      <c r="I621" s="61">
        <v>30</v>
      </c>
      <c r="J621" s="23">
        <v>10000</v>
      </c>
      <c r="K621" s="23">
        <v>12.83</v>
      </c>
      <c r="L621" s="23">
        <v>2</v>
      </c>
      <c r="M621" s="23" t="s">
        <v>161</v>
      </c>
      <c r="N621" s="23">
        <v>1</v>
      </c>
      <c r="O621" s="23" t="s">
        <v>190</v>
      </c>
      <c r="P621" s="23">
        <v>1</v>
      </c>
      <c r="S621" s="23"/>
    </row>
    <row r="622" spans="1:19">
      <c r="A622" s="23" t="s">
        <v>135</v>
      </c>
      <c r="B622" s="23" t="s">
        <v>65</v>
      </c>
      <c r="C622" s="23" t="s">
        <v>14</v>
      </c>
      <c r="D622" s="23" t="s">
        <v>180</v>
      </c>
      <c r="E622" s="23">
        <v>2</v>
      </c>
      <c r="F622" s="23" t="s">
        <v>51</v>
      </c>
      <c r="G622" s="23" t="s">
        <v>155</v>
      </c>
      <c r="H622" s="23">
        <v>3</v>
      </c>
      <c r="I622" s="61">
        <v>30</v>
      </c>
      <c r="J622" s="23">
        <v>10000</v>
      </c>
      <c r="K622" s="23">
        <v>12.83</v>
      </c>
      <c r="L622" s="23">
        <v>2</v>
      </c>
      <c r="M622" s="23" t="s">
        <v>161</v>
      </c>
      <c r="N622" s="23">
        <v>1</v>
      </c>
      <c r="O622" s="23" t="s">
        <v>190</v>
      </c>
      <c r="P622" s="23">
        <v>1</v>
      </c>
      <c r="S622" s="23"/>
    </row>
    <row r="623" spans="1:19">
      <c r="A623" s="23" t="s">
        <v>135</v>
      </c>
      <c r="B623" s="23" t="s">
        <v>65</v>
      </c>
      <c r="C623" s="23" t="s">
        <v>14</v>
      </c>
      <c r="D623" s="23" t="s">
        <v>180</v>
      </c>
      <c r="E623" s="23">
        <v>2</v>
      </c>
      <c r="F623" s="23" t="s">
        <v>51</v>
      </c>
      <c r="G623" s="23" t="s">
        <v>156</v>
      </c>
      <c r="H623" s="23">
        <v>4</v>
      </c>
      <c r="I623" s="61">
        <v>30</v>
      </c>
      <c r="J623" s="23">
        <v>10000</v>
      </c>
      <c r="K623" s="23">
        <v>12.83</v>
      </c>
      <c r="L623" s="23">
        <v>2</v>
      </c>
      <c r="M623" s="23" t="s">
        <v>160</v>
      </c>
      <c r="N623" s="23">
        <v>0</v>
      </c>
      <c r="P623" s="23">
        <v>0</v>
      </c>
      <c r="S623" s="23"/>
    </row>
    <row r="624" spans="1:19">
      <c r="A624" s="23" t="s">
        <v>135</v>
      </c>
      <c r="B624" s="23" t="s">
        <v>65</v>
      </c>
      <c r="C624" s="23" t="s">
        <v>14</v>
      </c>
      <c r="D624" s="23" t="s">
        <v>180</v>
      </c>
      <c r="E624" s="23">
        <v>2</v>
      </c>
      <c r="F624" s="23" t="s">
        <v>51</v>
      </c>
      <c r="G624" s="23" t="s">
        <v>157</v>
      </c>
      <c r="H624" s="23">
        <v>5</v>
      </c>
      <c r="I624" s="61">
        <v>30</v>
      </c>
      <c r="J624" s="23">
        <v>10000</v>
      </c>
      <c r="K624" s="23">
        <v>12.83</v>
      </c>
      <c r="L624" s="23">
        <v>2</v>
      </c>
      <c r="M624" s="23" t="s">
        <v>161</v>
      </c>
      <c r="N624" s="23">
        <v>0</v>
      </c>
      <c r="P624" s="23">
        <v>0</v>
      </c>
      <c r="S624" s="26"/>
    </row>
    <row r="625" spans="1:19">
      <c r="A625" s="23" t="s">
        <v>135</v>
      </c>
      <c r="B625" s="23" t="s">
        <v>65</v>
      </c>
      <c r="C625" s="23" t="s">
        <v>14</v>
      </c>
      <c r="D625" s="23" t="s">
        <v>180</v>
      </c>
      <c r="E625" s="23">
        <v>2</v>
      </c>
      <c r="F625" s="23" t="s">
        <v>51</v>
      </c>
      <c r="G625" s="23" t="s">
        <v>158</v>
      </c>
      <c r="H625" s="23">
        <v>6</v>
      </c>
      <c r="I625" s="61">
        <v>30</v>
      </c>
      <c r="J625" s="23">
        <v>10000</v>
      </c>
      <c r="K625" s="23">
        <v>12.83</v>
      </c>
      <c r="L625" s="23">
        <v>2</v>
      </c>
      <c r="M625" s="23" t="s">
        <v>160</v>
      </c>
      <c r="N625" s="23">
        <v>1</v>
      </c>
      <c r="O625" s="23" t="s">
        <v>190</v>
      </c>
      <c r="P625" s="23">
        <v>1</v>
      </c>
      <c r="R625" s="23">
        <v>0</v>
      </c>
      <c r="S625" s="26">
        <v>14.88790144083298</v>
      </c>
    </row>
    <row r="626" spans="1:19">
      <c r="A626" s="23" t="s">
        <v>135</v>
      </c>
      <c r="B626" s="23" t="s">
        <v>65</v>
      </c>
      <c r="C626" s="23" t="s">
        <v>22</v>
      </c>
      <c r="D626" s="23" t="s">
        <v>180</v>
      </c>
      <c r="E626" s="23">
        <v>3</v>
      </c>
      <c r="F626" s="23" t="s">
        <v>58</v>
      </c>
      <c r="G626" s="23" t="s">
        <v>156</v>
      </c>
      <c r="H626" s="23">
        <v>1</v>
      </c>
      <c r="I626" s="61">
        <v>30</v>
      </c>
      <c r="J626" s="23">
        <v>10000</v>
      </c>
      <c r="K626" s="23">
        <v>12.83</v>
      </c>
      <c r="L626" s="23">
        <v>3</v>
      </c>
      <c r="M626" s="23" t="s">
        <v>161</v>
      </c>
      <c r="N626" s="23">
        <v>0</v>
      </c>
      <c r="P626" s="23">
        <v>0</v>
      </c>
      <c r="S626" s="23"/>
    </row>
    <row r="627" spans="1:19">
      <c r="A627" s="23" t="s">
        <v>135</v>
      </c>
      <c r="B627" s="23" t="s">
        <v>65</v>
      </c>
      <c r="C627" s="23" t="s">
        <v>22</v>
      </c>
      <c r="D627" s="23" t="s">
        <v>180</v>
      </c>
      <c r="E627" s="23">
        <v>3</v>
      </c>
      <c r="F627" s="23" t="s">
        <v>58</v>
      </c>
      <c r="G627" s="23" t="s">
        <v>157</v>
      </c>
      <c r="H627" s="23">
        <v>2</v>
      </c>
      <c r="I627" s="61">
        <v>30</v>
      </c>
      <c r="J627" s="23">
        <v>10000</v>
      </c>
      <c r="K627" s="23">
        <v>12.83</v>
      </c>
      <c r="L627" s="23">
        <v>3</v>
      </c>
      <c r="M627" s="23" t="s">
        <v>160</v>
      </c>
      <c r="N627" s="23">
        <v>1</v>
      </c>
      <c r="O627" s="23" t="s">
        <v>190</v>
      </c>
      <c r="P627" s="23">
        <v>1</v>
      </c>
      <c r="Q627" s="23" t="s">
        <v>190</v>
      </c>
      <c r="S627" s="23"/>
    </row>
    <row r="628" spans="1:19">
      <c r="A628" s="23" t="s">
        <v>135</v>
      </c>
      <c r="B628" s="23" t="s">
        <v>65</v>
      </c>
      <c r="C628" s="23" t="s">
        <v>22</v>
      </c>
      <c r="D628" s="23" t="s">
        <v>180</v>
      </c>
      <c r="E628" s="23">
        <v>3</v>
      </c>
      <c r="F628" s="23" t="s">
        <v>58</v>
      </c>
      <c r="G628" s="23" t="s">
        <v>153</v>
      </c>
      <c r="H628" s="23">
        <v>3</v>
      </c>
      <c r="I628" s="61">
        <v>30</v>
      </c>
      <c r="J628" s="23">
        <v>10000</v>
      </c>
      <c r="K628" s="23">
        <v>12.83</v>
      </c>
      <c r="L628" s="23">
        <v>3</v>
      </c>
      <c r="M628" s="23" t="s">
        <v>161</v>
      </c>
      <c r="N628" s="23">
        <v>0</v>
      </c>
      <c r="P628" s="23">
        <v>0</v>
      </c>
      <c r="S628" s="23"/>
    </row>
    <row r="629" spans="1:19">
      <c r="A629" s="23" t="s">
        <v>135</v>
      </c>
      <c r="B629" s="23" t="s">
        <v>65</v>
      </c>
      <c r="C629" s="23" t="s">
        <v>22</v>
      </c>
      <c r="D629" s="23" t="s">
        <v>180</v>
      </c>
      <c r="E629" s="23">
        <v>3</v>
      </c>
      <c r="F629" s="23" t="s">
        <v>58</v>
      </c>
      <c r="G629" s="23" t="s">
        <v>158</v>
      </c>
      <c r="H629" s="23">
        <v>4</v>
      </c>
      <c r="I629" s="61">
        <v>30</v>
      </c>
      <c r="J629" s="23">
        <v>10000</v>
      </c>
      <c r="K629" s="23">
        <v>12.83</v>
      </c>
      <c r="L629" s="23">
        <v>3</v>
      </c>
      <c r="M629" s="23" t="s">
        <v>161</v>
      </c>
      <c r="N629" s="23">
        <v>0</v>
      </c>
      <c r="P629" s="23">
        <v>0</v>
      </c>
      <c r="S629" s="23"/>
    </row>
    <row r="630" spans="1:19">
      <c r="A630" s="23" t="s">
        <v>135</v>
      </c>
      <c r="B630" s="23" t="s">
        <v>65</v>
      </c>
      <c r="C630" s="23" t="s">
        <v>22</v>
      </c>
      <c r="D630" s="23" t="s">
        <v>180</v>
      </c>
      <c r="E630" s="23">
        <v>3</v>
      </c>
      <c r="F630" s="23" t="s">
        <v>58</v>
      </c>
      <c r="G630" s="23" t="s">
        <v>155</v>
      </c>
      <c r="H630" s="23">
        <v>5</v>
      </c>
      <c r="I630" s="61">
        <v>30</v>
      </c>
      <c r="J630" s="23">
        <v>10000</v>
      </c>
      <c r="K630" s="23">
        <v>12.83</v>
      </c>
      <c r="L630" s="23">
        <v>3</v>
      </c>
      <c r="M630" s="23" t="s">
        <v>160</v>
      </c>
      <c r="N630" s="23">
        <v>0</v>
      </c>
      <c r="P630" s="23">
        <v>0</v>
      </c>
      <c r="S630" s="26"/>
    </row>
    <row r="631" spans="1:19">
      <c r="A631" s="23" t="s">
        <v>135</v>
      </c>
      <c r="B631" s="23" t="s">
        <v>65</v>
      </c>
      <c r="C631" s="23" t="s">
        <v>22</v>
      </c>
      <c r="D631" s="23" t="s">
        <v>180</v>
      </c>
      <c r="E631" s="23">
        <v>3</v>
      </c>
      <c r="F631" s="23" t="s">
        <v>58</v>
      </c>
      <c r="G631" s="23" t="s">
        <v>154</v>
      </c>
      <c r="H631" s="23">
        <v>6</v>
      </c>
      <c r="I631" s="61">
        <v>30</v>
      </c>
      <c r="J631" s="23">
        <v>10000</v>
      </c>
      <c r="K631" s="23">
        <v>12.83</v>
      </c>
      <c r="L631" s="23">
        <v>3</v>
      </c>
      <c r="M631" s="23" t="s">
        <v>160</v>
      </c>
      <c r="N631" s="23">
        <v>1</v>
      </c>
      <c r="O631" s="23" t="s">
        <v>190</v>
      </c>
      <c r="P631" s="23">
        <v>1</v>
      </c>
      <c r="Q631" s="23" t="s">
        <v>190</v>
      </c>
      <c r="R631" s="23">
        <v>0</v>
      </c>
      <c r="S631" s="26">
        <v>3.8133812410965811</v>
      </c>
    </row>
    <row r="632" spans="1:19">
      <c r="A632" s="23" t="s">
        <v>68</v>
      </c>
      <c r="B632" s="23" t="s">
        <v>65</v>
      </c>
      <c r="C632" s="23" t="s">
        <v>21</v>
      </c>
      <c r="D632" s="23" t="s">
        <v>183</v>
      </c>
      <c r="E632" s="23">
        <v>1</v>
      </c>
      <c r="F632" s="23" t="s">
        <v>50</v>
      </c>
      <c r="G632" s="23" t="s">
        <v>147</v>
      </c>
      <c r="H632" s="23">
        <v>1</v>
      </c>
      <c r="I632" s="61">
        <v>40</v>
      </c>
      <c r="J632" s="23">
        <v>10000</v>
      </c>
      <c r="K632" s="23">
        <v>23</v>
      </c>
      <c r="L632" s="23">
        <v>1</v>
      </c>
      <c r="M632" s="23" t="s">
        <v>160</v>
      </c>
      <c r="N632" s="23">
        <v>1</v>
      </c>
      <c r="O632" s="23" t="s">
        <v>190</v>
      </c>
      <c r="P632" s="23">
        <v>1</v>
      </c>
      <c r="Q632" s="23" t="s">
        <v>190</v>
      </c>
      <c r="S632" s="23"/>
    </row>
    <row r="633" spans="1:19">
      <c r="A633" s="23" t="s">
        <v>68</v>
      </c>
      <c r="B633" s="23" t="s">
        <v>65</v>
      </c>
      <c r="C633" s="23" t="s">
        <v>21</v>
      </c>
      <c r="D633" s="23" t="s">
        <v>183</v>
      </c>
      <c r="E633" s="23">
        <v>1</v>
      </c>
      <c r="F633" s="23" t="s">
        <v>50</v>
      </c>
      <c r="G633" s="23" t="s">
        <v>148</v>
      </c>
      <c r="H633" s="23">
        <v>2</v>
      </c>
      <c r="I633" s="61">
        <v>40</v>
      </c>
      <c r="J633" s="23">
        <v>10000</v>
      </c>
      <c r="K633" s="23">
        <v>23</v>
      </c>
      <c r="L633" s="23">
        <v>1</v>
      </c>
      <c r="M633" s="23" t="s">
        <v>161</v>
      </c>
      <c r="N633" s="23">
        <v>1</v>
      </c>
      <c r="O633" s="23" t="s">
        <v>190</v>
      </c>
      <c r="P633" s="23">
        <v>1</v>
      </c>
      <c r="Q633" s="23" t="s">
        <v>190</v>
      </c>
      <c r="S633" s="23"/>
    </row>
    <row r="634" spans="1:19">
      <c r="A634" s="23" t="s">
        <v>128</v>
      </c>
      <c r="B634" s="23" t="s">
        <v>65</v>
      </c>
      <c r="C634" s="23" t="s">
        <v>21</v>
      </c>
      <c r="D634" s="23" t="s">
        <v>182</v>
      </c>
      <c r="E634" s="23">
        <v>1</v>
      </c>
      <c r="F634" s="23" t="s">
        <v>50</v>
      </c>
      <c r="G634" s="23" t="s">
        <v>149</v>
      </c>
      <c r="H634" s="23">
        <v>3</v>
      </c>
      <c r="I634" s="61">
        <v>40</v>
      </c>
      <c r="J634" s="23">
        <v>10000</v>
      </c>
      <c r="K634" s="23">
        <v>23</v>
      </c>
      <c r="L634" s="23">
        <v>1</v>
      </c>
      <c r="M634" s="23" t="s">
        <v>160</v>
      </c>
      <c r="N634" s="23">
        <v>1</v>
      </c>
      <c r="O634" s="23" t="s">
        <v>190</v>
      </c>
      <c r="P634" s="23">
        <v>1</v>
      </c>
      <c r="Q634" s="23" t="s">
        <v>190</v>
      </c>
      <c r="S634" s="23"/>
    </row>
    <row r="635" spans="1:19">
      <c r="A635" s="23" t="s">
        <v>128</v>
      </c>
      <c r="B635" s="23" t="s">
        <v>65</v>
      </c>
      <c r="C635" s="23" t="s">
        <v>21</v>
      </c>
      <c r="D635" s="23" t="s">
        <v>182</v>
      </c>
      <c r="E635" s="23">
        <v>1</v>
      </c>
      <c r="F635" s="23" t="s">
        <v>50</v>
      </c>
      <c r="G635" s="23" t="s">
        <v>150</v>
      </c>
      <c r="H635" s="23">
        <v>4</v>
      </c>
      <c r="I635" s="61">
        <v>40</v>
      </c>
      <c r="J635" s="23">
        <v>10000</v>
      </c>
      <c r="K635" s="23">
        <v>23</v>
      </c>
      <c r="L635" s="23">
        <v>1</v>
      </c>
      <c r="M635" s="23" t="s">
        <v>161</v>
      </c>
      <c r="N635" s="23">
        <v>1</v>
      </c>
      <c r="O635" s="23" t="s">
        <v>190</v>
      </c>
      <c r="P635" s="23">
        <v>1</v>
      </c>
      <c r="Q635" s="23" t="s">
        <v>190</v>
      </c>
      <c r="S635" s="23"/>
    </row>
    <row r="636" spans="1:19">
      <c r="A636" s="23" t="s">
        <v>128</v>
      </c>
      <c r="B636" s="23" t="s">
        <v>65</v>
      </c>
      <c r="C636" s="23" t="s">
        <v>21</v>
      </c>
      <c r="D636" s="23" t="s">
        <v>182</v>
      </c>
      <c r="E636" s="23">
        <v>1</v>
      </c>
      <c r="F636" s="23" t="s">
        <v>50</v>
      </c>
      <c r="G636" s="23" t="s">
        <v>151</v>
      </c>
      <c r="H636" s="23">
        <v>5</v>
      </c>
      <c r="I636" s="61">
        <v>40</v>
      </c>
      <c r="J636" s="23">
        <v>10000</v>
      </c>
      <c r="K636" s="23">
        <v>23</v>
      </c>
      <c r="L636" s="23">
        <v>1</v>
      </c>
      <c r="M636" s="23" t="s">
        <v>161</v>
      </c>
      <c r="N636" s="23">
        <v>0</v>
      </c>
      <c r="P636" s="23">
        <v>0</v>
      </c>
      <c r="S636" s="23"/>
    </row>
    <row r="637" spans="1:19">
      <c r="A637" s="23" t="s">
        <v>128</v>
      </c>
      <c r="B637" s="23" t="s">
        <v>65</v>
      </c>
      <c r="C637" s="23" t="s">
        <v>21</v>
      </c>
      <c r="D637" s="23" t="s">
        <v>182</v>
      </c>
      <c r="E637" s="23">
        <v>1</v>
      </c>
      <c r="F637" s="23" t="s">
        <v>50</v>
      </c>
      <c r="G637" s="23" t="s">
        <v>152</v>
      </c>
      <c r="H637" s="23">
        <v>6</v>
      </c>
      <c r="I637" s="61">
        <v>40</v>
      </c>
      <c r="J637" s="23">
        <v>10000</v>
      </c>
      <c r="K637" s="23">
        <v>23</v>
      </c>
      <c r="L637" s="23">
        <v>1</v>
      </c>
      <c r="M637" s="23" t="s">
        <v>160</v>
      </c>
      <c r="N637" s="23">
        <v>1</v>
      </c>
      <c r="O637" s="23" t="s">
        <v>190</v>
      </c>
      <c r="P637" s="23">
        <v>1</v>
      </c>
      <c r="Q637" s="23" t="s">
        <v>190</v>
      </c>
      <c r="R637" s="23">
        <v>0</v>
      </c>
      <c r="S637" s="23">
        <v>16.490613747580198</v>
      </c>
    </row>
    <row r="638" spans="1:19">
      <c r="A638" s="23" t="s">
        <v>128</v>
      </c>
      <c r="B638" s="23" t="s">
        <v>65</v>
      </c>
      <c r="C638" s="23" t="s">
        <v>22</v>
      </c>
      <c r="D638" s="23" t="s">
        <v>182</v>
      </c>
      <c r="E638" s="23">
        <v>2</v>
      </c>
      <c r="F638" s="23" t="s">
        <v>52</v>
      </c>
      <c r="G638" s="23" t="s">
        <v>153</v>
      </c>
      <c r="H638" s="23">
        <v>1</v>
      </c>
      <c r="I638" s="61">
        <v>40</v>
      </c>
      <c r="J638" s="23">
        <v>10000</v>
      </c>
      <c r="K638" s="23">
        <v>23</v>
      </c>
      <c r="L638" s="23">
        <v>2</v>
      </c>
      <c r="M638" s="23" t="s">
        <v>160</v>
      </c>
      <c r="N638" s="23">
        <v>1</v>
      </c>
      <c r="O638" s="23" t="s">
        <v>190</v>
      </c>
      <c r="P638" s="23">
        <v>1</v>
      </c>
      <c r="Q638" s="23" t="s">
        <v>190</v>
      </c>
      <c r="S638" s="23"/>
    </row>
    <row r="639" spans="1:19">
      <c r="A639" s="23" t="s">
        <v>128</v>
      </c>
      <c r="B639" s="23" t="s">
        <v>65</v>
      </c>
      <c r="C639" s="23" t="s">
        <v>22</v>
      </c>
      <c r="D639" s="23" t="s">
        <v>182</v>
      </c>
      <c r="E639" s="23">
        <v>2</v>
      </c>
      <c r="F639" s="23" t="s">
        <v>52</v>
      </c>
      <c r="G639" s="23" t="s">
        <v>154</v>
      </c>
      <c r="H639" s="23">
        <v>2</v>
      </c>
      <c r="I639" s="61">
        <v>40</v>
      </c>
      <c r="J639" s="23">
        <v>10000</v>
      </c>
      <c r="K639" s="23">
        <v>23</v>
      </c>
      <c r="L639" s="23">
        <v>2</v>
      </c>
      <c r="M639" s="23" t="s">
        <v>161</v>
      </c>
      <c r="N639" s="23">
        <v>1</v>
      </c>
      <c r="O639" s="23" t="s">
        <v>190</v>
      </c>
      <c r="P639" s="23">
        <v>1</v>
      </c>
      <c r="Q639" s="23" t="s">
        <v>190</v>
      </c>
      <c r="S639" s="23"/>
    </row>
    <row r="640" spans="1:19">
      <c r="A640" s="23" t="s">
        <v>128</v>
      </c>
      <c r="B640" s="23" t="s">
        <v>65</v>
      </c>
      <c r="C640" s="23" t="s">
        <v>22</v>
      </c>
      <c r="D640" s="23" t="s">
        <v>182</v>
      </c>
      <c r="E640" s="23">
        <v>2</v>
      </c>
      <c r="F640" s="23" t="s">
        <v>51</v>
      </c>
      <c r="G640" s="23" t="s">
        <v>155</v>
      </c>
      <c r="H640" s="23">
        <v>3</v>
      </c>
      <c r="I640" s="61">
        <v>40</v>
      </c>
      <c r="J640" s="23">
        <v>10000</v>
      </c>
      <c r="K640" s="23">
        <v>23</v>
      </c>
      <c r="L640" s="23">
        <v>2</v>
      </c>
      <c r="M640" s="23" t="s">
        <v>161</v>
      </c>
      <c r="N640" s="23">
        <v>0</v>
      </c>
      <c r="P640" s="23">
        <v>0</v>
      </c>
      <c r="S640" s="23"/>
    </row>
    <row r="641" spans="1:19">
      <c r="A641" s="23" t="s">
        <v>128</v>
      </c>
      <c r="B641" s="23" t="s">
        <v>65</v>
      </c>
      <c r="C641" s="23" t="s">
        <v>22</v>
      </c>
      <c r="D641" s="23" t="s">
        <v>182</v>
      </c>
      <c r="E641" s="23">
        <v>2</v>
      </c>
      <c r="F641" s="23" t="s">
        <v>51</v>
      </c>
      <c r="G641" s="23" t="s">
        <v>156</v>
      </c>
      <c r="H641" s="23">
        <v>4</v>
      </c>
      <c r="I641" s="61">
        <v>40</v>
      </c>
      <c r="J641" s="23">
        <v>10000</v>
      </c>
      <c r="K641" s="23">
        <v>23</v>
      </c>
      <c r="L641" s="23">
        <v>2</v>
      </c>
      <c r="M641" s="23" t="s">
        <v>160</v>
      </c>
      <c r="N641" s="23">
        <v>0</v>
      </c>
      <c r="P641" s="23">
        <v>0</v>
      </c>
      <c r="S641" s="23"/>
    </row>
    <row r="642" spans="1:19">
      <c r="A642" s="23" t="s">
        <v>128</v>
      </c>
      <c r="B642" s="23" t="s">
        <v>65</v>
      </c>
      <c r="C642" s="23" t="s">
        <v>22</v>
      </c>
      <c r="D642" s="23" t="s">
        <v>182</v>
      </c>
      <c r="E642" s="23">
        <v>2</v>
      </c>
      <c r="F642" s="23" t="s">
        <v>51</v>
      </c>
      <c r="G642" s="23" t="s">
        <v>157</v>
      </c>
      <c r="H642" s="23">
        <v>5</v>
      </c>
      <c r="I642" s="61">
        <v>40</v>
      </c>
      <c r="J642" s="23">
        <v>10000</v>
      </c>
      <c r="K642" s="23">
        <v>23</v>
      </c>
      <c r="L642" s="23">
        <v>2</v>
      </c>
      <c r="M642" s="23" t="s">
        <v>161</v>
      </c>
      <c r="N642" s="23">
        <v>1</v>
      </c>
      <c r="O642" s="23" t="s">
        <v>190</v>
      </c>
      <c r="P642" s="23">
        <v>1</v>
      </c>
      <c r="Q642" s="23" t="s">
        <v>190</v>
      </c>
      <c r="S642" s="26"/>
    </row>
    <row r="643" spans="1:19">
      <c r="A643" s="23" t="s">
        <v>128</v>
      </c>
      <c r="B643" s="23" t="s">
        <v>65</v>
      </c>
      <c r="C643" s="23" t="s">
        <v>22</v>
      </c>
      <c r="D643" s="23" t="s">
        <v>182</v>
      </c>
      <c r="E643" s="23">
        <v>2</v>
      </c>
      <c r="F643" s="23" t="s">
        <v>51</v>
      </c>
      <c r="G643" s="23" t="s">
        <v>158</v>
      </c>
      <c r="H643" s="23">
        <v>6</v>
      </c>
      <c r="I643" s="61">
        <v>40</v>
      </c>
      <c r="J643" s="23">
        <v>10000</v>
      </c>
      <c r="K643" s="23">
        <v>23</v>
      </c>
      <c r="L643" s="23">
        <v>2</v>
      </c>
      <c r="M643" s="23" t="s">
        <v>160</v>
      </c>
      <c r="N643" s="23">
        <v>1</v>
      </c>
      <c r="O643" s="23" t="s">
        <v>190</v>
      </c>
      <c r="P643" s="23">
        <v>1</v>
      </c>
      <c r="Q643" s="23" t="s">
        <v>190</v>
      </c>
      <c r="R643" s="23">
        <v>0</v>
      </c>
      <c r="S643" s="26">
        <v>5.4541083198724669</v>
      </c>
    </row>
    <row r="644" spans="1:19">
      <c r="A644" s="23" t="s">
        <v>128</v>
      </c>
      <c r="B644" s="23" t="s">
        <v>65</v>
      </c>
      <c r="C644" s="23" t="s">
        <v>14</v>
      </c>
      <c r="D644" s="23" t="s">
        <v>182</v>
      </c>
      <c r="E644" s="23">
        <v>3</v>
      </c>
      <c r="F644" s="23" t="s">
        <v>58</v>
      </c>
      <c r="G644" s="23" t="s">
        <v>156</v>
      </c>
      <c r="H644" s="23">
        <v>1</v>
      </c>
      <c r="I644" s="61">
        <v>40</v>
      </c>
      <c r="J644" s="23">
        <v>10000</v>
      </c>
      <c r="K644" s="23">
        <v>23</v>
      </c>
      <c r="L644" s="23">
        <v>3</v>
      </c>
      <c r="M644" s="23" t="s">
        <v>161</v>
      </c>
      <c r="N644" s="23">
        <v>0</v>
      </c>
      <c r="P644" s="23">
        <v>0</v>
      </c>
      <c r="S644" s="23"/>
    </row>
    <row r="645" spans="1:19">
      <c r="A645" s="23" t="s">
        <v>128</v>
      </c>
      <c r="B645" s="23" t="s">
        <v>65</v>
      </c>
      <c r="C645" s="23" t="s">
        <v>14</v>
      </c>
      <c r="D645" s="23" t="s">
        <v>182</v>
      </c>
      <c r="E645" s="23">
        <v>3</v>
      </c>
      <c r="F645" s="23" t="s">
        <v>58</v>
      </c>
      <c r="G645" s="23" t="s">
        <v>157</v>
      </c>
      <c r="H645" s="23">
        <v>2</v>
      </c>
      <c r="I645" s="61">
        <v>40</v>
      </c>
      <c r="J645" s="23">
        <v>10000</v>
      </c>
      <c r="K645" s="23">
        <v>23</v>
      </c>
      <c r="L645" s="23">
        <v>3</v>
      </c>
      <c r="M645" s="23" t="s">
        <v>160</v>
      </c>
      <c r="N645" s="23">
        <v>1</v>
      </c>
      <c r="O645" s="23" t="s">
        <v>190</v>
      </c>
      <c r="P645" s="23">
        <v>1</v>
      </c>
      <c r="S645" s="23"/>
    </row>
    <row r="646" spans="1:19">
      <c r="A646" s="23" t="s">
        <v>128</v>
      </c>
      <c r="B646" s="23" t="s">
        <v>65</v>
      </c>
      <c r="C646" s="23" t="s">
        <v>14</v>
      </c>
      <c r="D646" s="23" t="s">
        <v>182</v>
      </c>
      <c r="E646" s="23">
        <v>3</v>
      </c>
      <c r="F646" s="23" t="s">
        <v>58</v>
      </c>
      <c r="G646" s="23" t="s">
        <v>153</v>
      </c>
      <c r="H646" s="23">
        <v>3</v>
      </c>
      <c r="I646" s="61">
        <v>40</v>
      </c>
      <c r="J646" s="23">
        <v>10000</v>
      </c>
      <c r="K646" s="23">
        <v>23</v>
      </c>
      <c r="L646" s="23">
        <v>3</v>
      </c>
      <c r="M646" s="23" t="s">
        <v>161</v>
      </c>
      <c r="N646" s="23">
        <v>0</v>
      </c>
      <c r="P646" s="23">
        <v>0</v>
      </c>
      <c r="S646" s="23"/>
    </row>
    <row r="647" spans="1:19">
      <c r="A647" s="23" t="s">
        <v>128</v>
      </c>
      <c r="B647" s="23" t="s">
        <v>65</v>
      </c>
      <c r="C647" s="23" t="s">
        <v>14</v>
      </c>
      <c r="D647" s="23" t="s">
        <v>182</v>
      </c>
      <c r="E647" s="23">
        <v>3</v>
      </c>
      <c r="F647" s="23" t="s">
        <v>58</v>
      </c>
      <c r="G647" s="23" t="s">
        <v>158</v>
      </c>
      <c r="H647" s="23">
        <v>4</v>
      </c>
      <c r="I647" s="61">
        <v>40</v>
      </c>
      <c r="J647" s="23">
        <v>10000</v>
      </c>
      <c r="K647" s="23">
        <v>23</v>
      </c>
      <c r="L647" s="23">
        <v>3</v>
      </c>
      <c r="M647" s="23" t="s">
        <v>161</v>
      </c>
      <c r="N647" s="23">
        <v>0</v>
      </c>
      <c r="P647" s="23">
        <v>0</v>
      </c>
      <c r="S647" s="23"/>
    </row>
    <row r="648" spans="1:19">
      <c r="A648" s="23" t="s">
        <v>128</v>
      </c>
      <c r="B648" s="23" t="s">
        <v>65</v>
      </c>
      <c r="C648" s="23" t="s">
        <v>14</v>
      </c>
      <c r="D648" s="23" t="s">
        <v>182</v>
      </c>
      <c r="E648" s="23">
        <v>3</v>
      </c>
      <c r="F648" s="23" t="s">
        <v>58</v>
      </c>
      <c r="G648" s="23" t="s">
        <v>155</v>
      </c>
      <c r="H648" s="23">
        <v>5</v>
      </c>
      <c r="I648" s="61">
        <v>40</v>
      </c>
      <c r="J648" s="23">
        <v>10000</v>
      </c>
      <c r="K648" s="23">
        <v>23</v>
      </c>
      <c r="L648" s="23">
        <v>3</v>
      </c>
      <c r="M648" s="23" t="s">
        <v>160</v>
      </c>
      <c r="N648" s="23">
        <v>0</v>
      </c>
      <c r="P648" s="23">
        <v>0</v>
      </c>
      <c r="S648" s="26"/>
    </row>
    <row r="649" spans="1:19">
      <c r="A649" s="23" t="s">
        <v>128</v>
      </c>
      <c r="B649" s="23" t="s">
        <v>65</v>
      </c>
      <c r="C649" s="23" t="s">
        <v>14</v>
      </c>
      <c r="D649" s="23" t="s">
        <v>182</v>
      </c>
      <c r="E649" s="23">
        <v>3</v>
      </c>
      <c r="F649" s="23" t="s">
        <v>58</v>
      </c>
      <c r="G649" s="23" t="s">
        <v>154</v>
      </c>
      <c r="H649" s="23">
        <v>6</v>
      </c>
      <c r="I649" s="61">
        <v>40</v>
      </c>
      <c r="J649" s="23">
        <v>10000</v>
      </c>
      <c r="K649" s="23">
        <v>23</v>
      </c>
      <c r="L649" s="23">
        <v>3</v>
      </c>
      <c r="M649" s="23" t="s">
        <v>160</v>
      </c>
      <c r="N649" s="23">
        <v>1</v>
      </c>
      <c r="O649" s="23" t="s">
        <v>190</v>
      </c>
      <c r="P649" s="23">
        <v>1</v>
      </c>
      <c r="R649" s="23">
        <v>0</v>
      </c>
      <c r="S649" s="26">
        <v>6.3650120374914847</v>
      </c>
    </row>
    <row r="650" spans="1:19">
      <c r="A650" s="23" t="s">
        <v>70</v>
      </c>
      <c r="B650" s="23" t="s">
        <v>65</v>
      </c>
      <c r="C650" s="23" t="s">
        <v>14</v>
      </c>
      <c r="D650" s="23" t="s">
        <v>185</v>
      </c>
      <c r="E650" s="23">
        <v>1</v>
      </c>
      <c r="F650" s="23" t="s">
        <v>50</v>
      </c>
      <c r="G650" s="23" t="s">
        <v>147</v>
      </c>
      <c r="H650" s="23">
        <v>1</v>
      </c>
      <c r="I650" s="61">
        <v>25</v>
      </c>
      <c r="J650" s="23">
        <v>12000</v>
      </c>
      <c r="K650" s="23">
        <v>3.5</v>
      </c>
      <c r="L650" s="23">
        <v>1</v>
      </c>
      <c r="M650" s="23" t="s">
        <v>160</v>
      </c>
      <c r="N650" s="23">
        <v>1</v>
      </c>
      <c r="O650" s="23" t="s">
        <v>190</v>
      </c>
      <c r="P650" s="23">
        <v>1</v>
      </c>
      <c r="S650" s="23"/>
    </row>
    <row r="651" spans="1:19">
      <c r="A651" s="23" t="s">
        <v>70</v>
      </c>
      <c r="B651" s="23" t="s">
        <v>65</v>
      </c>
      <c r="C651" s="23" t="s">
        <v>14</v>
      </c>
      <c r="D651" s="23" t="s">
        <v>185</v>
      </c>
      <c r="E651" s="23">
        <v>1</v>
      </c>
      <c r="F651" s="23" t="s">
        <v>50</v>
      </c>
      <c r="G651" s="23" t="s">
        <v>148</v>
      </c>
      <c r="H651" s="23">
        <v>2</v>
      </c>
      <c r="I651" s="61">
        <v>25</v>
      </c>
      <c r="J651" s="23">
        <v>12000</v>
      </c>
      <c r="K651" s="23">
        <v>3.5</v>
      </c>
      <c r="L651" s="23">
        <v>1</v>
      </c>
      <c r="M651" s="23" t="s">
        <v>161</v>
      </c>
      <c r="N651" s="23">
        <v>0</v>
      </c>
      <c r="P651" s="23">
        <v>0</v>
      </c>
      <c r="S651" s="23"/>
    </row>
    <row r="652" spans="1:19">
      <c r="A652" s="23" t="s">
        <v>69</v>
      </c>
      <c r="B652" s="23" t="s">
        <v>65</v>
      </c>
      <c r="C652" s="23" t="s">
        <v>14</v>
      </c>
      <c r="D652" s="23" t="s">
        <v>184</v>
      </c>
      <c r="E652" s="23">
        <v>1</v>
      </c>
      <c r="F652" s="23" t="s">
        <v>50</v>
      </c>
      <c r="G652" s="23" t="s">
        <v>149</v>
      </c>
      <c r="H652" s="23">
        <v>3</v>
      </c>
      <c r="I652" s="61">
        <v>25</v>
      </c>
      <c r="J652" s="23">
        <v>12000</v>
      </c>
      <c r="K652" s="23">
        <v>3.5</v>
      </c>
      <c r="L652" s="23">
        <v>1</v>
      </c>
      <c r="M652" s="23" t="s">
        <v>160</v>
      </c>
      <c r="N652" s="23">
        <v>0</v>
      </c>
      <c r="P652" s="23">
        <v>0</v>
      </c>
      <c r="S652" s="23"/>
    </row>
    <row r="653" spans="1:19">
      <c r="A653" s="23" t="s">
        <v>69</v>
      </c>
      <c r="B653" s="23" t="s">
        <v>65</v>
      </c>
      <c r="C653" s="23" t="s">
        <v>14</v>
      </c>
      <c r="D653" s="23" t="s">
        <v>184</v>
      </c>
      <c r="E653" s="23">
        <v>1</v>
      </c>
      <c r="F653" s="23" t="s">
        <v>50</v>
      </c>
      <c r="G653" s="23" t="s">
        <v>150</v>
      </c>
      <c r="H653" s="23">
        <v>4</v>
      </c>
      <c r="I653" s="61">
        <v>25</v>
      </c>
      <c r="J653" s="23">
        <v>12000</v>
      </c>
      <c r="K653" s="23">
        <v>3.5</v>
      </c>
      <c r="L653" s="23">
        <v>1</v>
      </c>
      <c r="M653" s="23" t="s">
        <v>161</v>
      </c>
      <c r="N653" s="23">
        <v>0</v>
      </c>
      <c r="P653" s="23">
        <v>0</v>
      </c>
      <c r="S653" s="23"/>
    </row>
    <row r="654" spans="1:19">
      <c r="A654" s="23" t="s">
        <v>69</v>
      </c>
      <c r="B654" s="23" t="s">
        <v>65</v>
      </c>
      <c r="C654" s="23" t="s">
        <v>14</v>
      </c>
      <c r="D654" s="23" t="s">
        <v>184</v>
      </c>
      <c r="E654" s="23">
        <v>1</v>
      </c>
      <c r="F654" s="23" t="s">
        <v>50</v>
      </c>
      <c r="G654" s="23" t="s">
        <v>151</v>
      </c>
      <c r="H654" s="23">
        <v>5</v>
      </c>
      <c r="I654" s="61">
        <v>25</v>
      </c>
      <c r="J654" s="23">
        <v>12000</v>
      </c>
      <c r="K654" s="23">
        <v>3.5</v>
      </c>
      <c r="L654" s="23">
        <v>1</v>
      </c>
      <c r="M654" s="23" t="s">
        <v>161</v>
      </c>
      <c r="N654" s="23">
        <v>0</v>
      </c>
      <c r="P654" s="23">
        <v>0</v>
      </c>
      <c r="S654" s="23"/>
    </row>
    <row r="655" spans="1:19">
      <c r="A655" s="23" t="s">
        <v>69</v>
      </c>
      <c r="B655" s="23" t="s">
        <v>65</v>
      </c>
      <c r="C655" s="23" t="s">
        <v>14</v>
      </c>
      <c r="D655" s="23" t="s">
        <v>184</v>
      </c>
      <c r="E655" s="23">
        <v>1</v>
      </c>
      <c r="F655" s="23" t="s">
        <v>50</v>
      </c>
      <c r="G655" s="23" t="s">
        <v>152</v>
      </c>
      <c r="H655" s="23">
        <v>6</v>
      </c>
      <c r="I655" s="61">
        <v>25</v>
      </c>
      <c r="J655" s="23">
        <v>12000</v>
      </c>
      <c r="K655" s="23">
        <v>3.5</v>
      </c>
      <c r="L655" s="23">
        <v>1</v>
      </c>
      <c r="M655" s="23" t="s">
        <v>160</v>
      </c>
      <c r="N655" s="23">
        <v>1</v>
      </c>
      <c r="O655" s="23" t="s">
        <v>190</v>
      </c>
      <c r="P655" s="23">
        <v>1</v>
      </c>
      <c r="R655" s="23">
        <v>0</v>
      </c>
      <c r="S655" s="23">
        <v>9.0497545027759223</v>
      </c>
    </row>
    <row r="656" spans="1:19">
      <c r="A656" s="23" t="s">
        <v>69</v>
      </c>
      <c r="B656" s="23" t="s">
        <v>65</v>
      </c>
      <c r="C656" s="23" t="s">
        <v>21</v>
      </c>
      <c r="D656" s="23" t="s">
        <v>184</v>
      </c>
      <c r="E656" s="23">
        <v>2</v>
      </c>
      <c r="F656" s="23" t="s">
        <v>52</v>
      </c>
      <c r="G656" s="23" t="s">
        <v>153</v>
      </c>
      <c r="H656" s="23">
        <v>1</v>
      </c>
      <c r="I656" s="61">
        <v>25</v>
      </c>
      <c r="J656" s="23">
        <v>12000</v>
      </c>
      <c r="K656" s="23">
        <v>3.5</v>
      </c>
      <c r="L656" s="23">
        <v>2</v>
      </c>
      <c r="M656" s="23" t="s">
        <v>160</v>
      </c>
      <c r="N656" s="23">
        <v>0</v>
      </c>
      <c r="P656" s="23">
        <v>0</v>
      </c>
      <c r="S656" s="23"/>
    </row>
    <row r="657" spans="1:19">
      <c r="A657" s="23" t="s">
        <v>69</v>
      </c>
      <c r="B657" s="23" t="s">
        <v>65</v>
      </c>
      <c r="C657" s="23" t="s">
        <v>21</v>
      </c>
      <c r="D657" s="23" t="s">
        <v>184</v>
      </c>
      <c r="E657" s="23">
        <v>2</v>
      </c>
      <c r="F657" s="23" t="s">
        <v>52</v>
      </c>
      <c r="G657" s="23" t="s">
        <v>154</v>
      </c>
      <c r="H657" s="23">
        <v>2</v>
      </c>
      <c r="I657" s="61">
        <v>25</v>
      </c>
      <c r="J657" s="23">
        <v>12000</v>
      </c>
      <c r="K657" s="23">
        <v>3.5</v>
      </c>
      <c r="L657" s="23">
        <v>2</v>
      </c>
      <c r="M657" s="23" t="s">
        <v>161</v>
      </c>
      <c r="N657" s="23">
        <v>0</v>
      </c>
      <c r="P657" s="23">
        <v>0</v>
      </c>
      <c r="S657" s="23"/>
    </row>
    <row r="658" spans="1:19">
      <c r="A658" s="23" t="s">
        <v>69</v>
      </c>
      <c r="B658" s="23" t="s">
        <v>65</v>
      </c>
      <c r="C658" s="23" t="s">
        <v>21</v>
      </c>
      <c r="D658" s="23" t="s">
        <v>184</v>
      </c>
      <c r="E658" s="23">
        <v>2</v>
      </c>
      <c r="F658" s="23" t="s">
        <v>51</v>
      </c>
      <c r="G658" s="23" t="s">
        <v>155</v>
      </c>
      <c r="H658" s="23">
        <v>3</v>
      </c>
      <c r="I658" s="61">
        <v>25</v>
      </c>
      <c r="J658" s="23">
        <v>12000</v>
      </c>
      <c r="K658" s="23">
        <v>3.5</v>
      </c>
      <c r="L658" s="23">
        <v>2</v>
      </c>
      <c r="M658" s="23" t="s">
        <v>161</v>
      </c>
      <c r="N658" s="23">
        <v>0</v>
      </c>
      <c r="P658" s="23">
        <v>0</v>
      </c>
      <c r="S658" s="23"/>
    </row>
    <row r="659" spans="1:19">
      <c r="A659" s="23" t="s">
        <v>69</v>
      </c>
      <c r="B659" s="23" t="s">
        <v>65</v>
      </c>
      <c r="C659" s="23" t="s">
        <v>21</v>
      </c>
      <c r="D659" s="23" t="s">
        <v>184</v>
      </c>
      <c r="E659" s="23">
        <v>2</v>
      </c>
      <c r="F659" s="23" t="s">
        <v>51</v>
      </c>
      <c r="G659" s="23" t="s">
        <v>156</v>
      </c>
      <c r="H659" s="23">
        <v>4</v>
      </c>
      <c r="I659" s="61">
        <v>25</v>
      </c>
      <c r="J659" s="23">
        <v>12000</v>
      </c>
      <c r="K659" s="23">
        <v>3.5</v>
      </c>
      <c r="L659" s="23">
        <v>2</v>
      </c>
      <c r="M659" s="23" t="s">
        <v>160</v>
      </c>
      <c r="N659" s="23">
        <v>1</v>
      </c>
      <c r="O659" s="23" t="s">
        <v>190</v>
      </c>
      <c r="P659" s="23">
        <v>1</v>
      </c>
      <c r="Q659" s="23" t="s">
        <v>190</v>
      </c>
      <c r="S659" s="23"/>
    </row>
    <row r="660" spans="1:19">
      <c r="A660" s="23" t="s">
        <v>69</v>
      </c>
      <c r="B660" s="23" t="s">
        <v>65</v>
      </c>
      <c r="C660" s="23" t="s">
        <v>21</v>
      </c>
      <c r="D660" s="23" t="s">
        <v>184</v>
      </c>
      <c r="E660" s="23">
        <v>2</v>
      </c>
      <c r="F660" s="23" t="s">
        <v>51</v>
      </c>
      <c r="G660" s="23" t="s">
        <v>157</v>
      </c>
      <c r="H660" s="23">
        <v>5</v>
      </c>
      <c r="I660" s="61">
        <v>25</v>
      </c>
      <c r="J660" s="23">
        <v>12000</v>
      </c>
      <c r="K660" s="23">
        <v>3.5</v>
      </c>
      <c r="L660" s="23">
        <v>2</v>
      </c>
      <c r="M660" s="23" t="s">
        <v>161</v>
      </c>
      <c r="N660" s="23">
        <v>0</v>
      </c>
      <c r="P660" s="23">
        <v>0</v>
      </c>
      <c r="S660" s="26"/>
    </row>
    <row r="661" spans="1:19">
      <c r="A661" s="23" t="s">
        <v>69</v>
      </c>
      <c r="B661" s="23" t="s">
        <v>65</v>
      </c>
      <c r="C661" s="23" t="s">
        <v>21</v>
      </c>
      <c r="D661" s="23" t="s">
        <v>184</v>
      </c>
      <c r="E661" s="23">
        <v>2</v>
      </c>
      <c r="F661" s="23" t="s">
        <v>51</v>
      </c>
      <c r="G661" s="23" t="s">
        <v>158</v>
      </c>
      <c r="H661" s="23">
        <v>6</v>
      </c>
      <c r="I661" s="61">
        <v>25</v>
      </c>
      <c r="J661" s="23">
        <v>12000</v>
      </c>
      <c r="K661" s="23">
        <v>3.5</v>
      </c>
      <c r="L661" s="23">
        <v>2</v>
      </c>
      <c r="M661" s="23" t="s">
        <v>160</v>
      </c>
      <c r="N661" s="23">
        <v>1</v>
      </c>
      <c r="O661" s="23" t="s">
        <v>190</v>
      </c>
      <c r="P661" s="23">
        <v>1</v>
      </c>
      <c r="Q661" s="23" t="s">
        <v>190</v>
      </c>
      <c r="R661" s="23">
        <v>0</v>
      </c>
      <c r="S661" s="26">
        <v>5.400171034270679</v>
      </c>
    </row>
    <row r="662" spans="1:19">
      <c r="A662" s="23" t="s">
        <v>69</v>
      </c>
      <c r="B662" s="23" t="s">
        <v>65</v>
      </c>
      <c r="C662" s="23" t="s">
        <v>22</v>
      </c>
      <c r="D662" s="23" t="s">
        <v>184</v>
      </c>
      <c r="E662" s="23">
        <v>3</v>
      </c>
      <c r="F662" s="23" t="s">
        <v>58</v>
      </c>
      <c r="G662" s="23" t="s">
        <v>156</v>
      </c>
      <c r="H662" s="23">
        <v>1</v>
      </c>
      <c r="I662" s="61">
        <v>25</v>
      </c>
      <c r="J662" s="23">
        <v>12000</v>
      </c>
      <c r="K662" s="23">
        <v>3.5</v>
      </c>
      <c r="L662" s="23">
        <v>3</v>
      </c>
      <c r="M662" s="23" t="s">
        <v>161</v>
      </c>
      <c r="N662" s="23">
        <v>0</v>
      </c>
      <c r="P662" s="23">
        <v>0</v>
      </c>
      <c r="S662" s="23"/>
    </row>
    <row r="663" spans="1:19">
      <c r="A663" s="23" t="s">
        <v>69</v>
      </c>
      <c r="B663" s="23" t="s">
        <v>65</v>
      </c>
      <c r="C663" s="23" t="s">
        <v>22</v>
      </c>
      <c r="D663" s="23" t="s">
        <v>184</v>
      </c>
      <c r="E663" s="23">
        <v>3</v>
      </c>
      <c r="F663" s="23" t="s">
        <v>58</v>
      </c>
      <c r="G663" s="23" t="s">
        <v>157</v>
      </c>
      <c r="H663" s="23">
        <v>2</v>
      </c>
      <c r="I663" s="61">
        <v>25</v>
      </c>
      <c r="J663" s="23">
        <v>12000</v>
      </c>
      <c r="K663" s="23">
        <v>3.5</v>
      </c>
      <c r="L663" s="23">
        <v>3</v>
      </c>
      <c r="M663" s="23" t="s">
        <v>160</v>
      </c>
      <c r="N663" s="23">
        <v>0</v>
      </c>
      <c r="P663" s="23">
        <v>0</v>
      </c>
      <c r="S663" s="23"/>
    </row>
    <row r="664" spans="1:19">
      <c r="A664" s="23" t="s">
        <v>69</v>
      </c>
      <c r="B664" s="23" t="s">
        <v>65</v>
      </c>
      <c r="C664" s="23" t="s">
        <v>22</v>
      </c>
      <c r="D664" s="23" t="s">
        <v>184</v>
      </c>
      <c r="E664" s="23">
        <v>3</v>
      </c>
      <c r="F664" s="23" t="s">
        <v>58</v>
      </c>
      <c r="G664" s="23" t="s">
        <v>153</v>
      </c>
      <c r="H664" s="23">
        <v>3</v>
      </c>
      <c r="I664" s="61">
        <v>25</v>
      </c>
      <c r="J664" s="23">
        <v>12000</v>
      </c>
      <c r="K664" s="23">
        <v>3.5</v>
      </c>
      <c r="L664" s="23">
        <v>3</v>
      </c>
      <c r="M664" s="23" t="s">
        <v>161</v>
      </c>
      <c r="N664" s="23">
        <v>0</v>
      </c>
      <c r="P664" s="23">
        <v>0</v>
      </c>
      <c r="S664" s="23"/>
    </row>
    <row r="665" spans="1:19">
      <c r="A665" s="23" t="s">
        <v>69</v>
      </c>
      <c r="B665" s="23" t="s">
        <v>65</v>
      </c>
      <c r="C665" s="23" t="s">
        <v>22</v>
      </c>
      <c r="D665" s="23" t="s">
        <v>184</v>
      </c>
      <c r="E665" s="23">
        <v>3</v>
      </c>
      <c r="F665" s="23" t="s">
        <v>58</v>
      </c>
      <c r="G665" s="23" t="s">
        <v>158</v>
      </c>
      <c r="H665" s="23">
        <v>4</v>
      </c>
      <c r="I665" s="61">
        <v>25</v>
      </c>
      <c r="J665" s="23">
        <v>12000</v>
      </c>
      <c r="K665" s="23">
        <v>3.5</v>
      </c>
      <c r="L665" s="23">
        <v>3</v>
      </c>
      <c r="M665" s="23" t="s">
        <v>161</v>
      </c>
      <c r="N665" s="23">
        <v>0</v>
      </c>
      <c r="P665" s="23">
        <v>0</v>
      </c>
      <c r="S665" s="23"/>
    </row>
    <row r="666" spans="1:19">
      <c r="A666" s="23" t="s">
        <v>69</v>
      </c>
      <c r="B666" s="23" t="s">
        <v>65</v>
      </c>
      <c r="C666" s="23" t="s">
        <v>22</v>
      </c>
      <c r="D666" s="23" t="s">
        <v>184</v>
      </c>
      <c r="E666" s="23">
        <v>3</v>
      </c>
      <c r="F666" s="23" t="s">
        <v>58</v>
      </c>
      <c r="G666" s="23" t="s">
        <v>155</v>
      </c>
      <c r="H666" s="23">
        <v>5</v>
      </c>
      <c r="I666" s="61">
        <v>25</v>
      </c>
      <c r="J666" s="23">
        <v>12000</v>
      </c>
      <c r="K666" s="23">
        <v>3.5</v>
      </c>
      <c r="L666" s="23">
        <v>3</v>
      </c>
      <c r="M666" s="23" t="s">
        <v>160</v>
      </c>
      <c r="N666" s="23">
        <v>0</v>
      </c>
      <c r="P666" s="23">
        <v>0</v>
      </c>
      <c r="S666" s="26"/>
    </row>
    <row r="667" spans="1:19">
      <c r="A667" s="23" t="s">
        <v>69</v>
      </c>
      <c r="B667" s="23" t="s">
        <v>65</v>
      </c>
      <c r="C667" s="23" t="s">
        <v>22</v>
      </c>
      <c r="D667" s="23" t="s">
        <v>184</v>
      </c>
      <c r="E667" s="23">
        <v>3</v>
      </c>
      <c r="F667" s="23" t="s">
        <v>58</v>
      </c>
      <c r="G667" s="23" t="s">
        <v>154</v>
      </c>
      <c r="H667" s="23">
        <v>6</v>
      </c>
      <c r="I667" s="61">
        <v>25</v>
      </c>
      <c r="J667" s="23">
        <v>12000</v>
      </c>
      <c r="K667" s="23">
        <v>3.5</v>
      </c>
      <c r="L667" s="23">
        <v>3</v>
      </c>
      <c r="M667" s="23" t="s">
        <v>160</v>
      </c>
      <c r="N667" s="23">
        <v>1</v>
      </c>
      <c r="O667" s="23" t="s">
        <v>192</v>
      </c>
      <c r="P667" s="23">
        <v>1</v>
      </c>
      <c r="Q667" s="23" t="s">
        <v>462</v>
      </c>
      <c r="R667" s="23">
        <v>1</v>
      </c>
      <c r="S667" s="26">
        <v>3.8786663265233141</v>
      </c>
    </row>
    <row r="668" spans="1:19">
      <c r="A668" s="23" t="s">
        <v>141</v>
      </c>
      <c r="B668" s="23" t="s">
        <v>65</v>
      </c>
      <c r="C668" s="23" t="s">
        <v>22</v>
      </c>
      <c r="D668" s="23" t="s">
        <v>187</v>
      </c>
      <c r="E668" s="23">
        <v>1</v>
      </c>
      <c r="F668" s="23" t="s">
        <v>50</v>
      </c>
      <c r="G668" s="23" t="s">
        <v>147</v>
      </c>
      <c r="H668" s="23">
        <v>1</v>
      </c>
      <c r="I668" s="61">
        <v>22</v>
      </c>
      <c r="J668" s="23">
        <v>12000</v>
      </c>
      <c r="K668" s="23">
        <v>3</v>
      </c>
      <c r="L668" s="23">
        <v>1</v>
      </c>
      <c r="M668" s="23" t="s">
        <v>160</v>
      </c>
      <c r="N668" s="23">
        <v>1</v>
      </c>
      <c r="O668" s="23" t="s">
        <v>192</v>
      </c>
      <c r="P668" s="23">
        <v>1</v>
      </c>
      <c r="Q668" s="23" t="s">
        <v>193</v>
      </c>
      <c r="S668" s="23"/>
    </row>
    <row r="669" spans="1:19">
      <c r="A669" s="23" t="s">
        <v>141</v>
      </c>
      <c r="B669" s="23" t="s">
        <v>65</v>
      </c>
      <c r="C669" s="23" t="s">
        <v>22</v>
      </c>
      <c r="D669" s="23" t="s">
        <v>187</v>
      </c>
      <c r="E669" s="23">
        <v>1</v>
      </c>
      <c r="F669" s="23" t="s">
        <v>50</v>
      </c>
      <c r="G669" s="23" t="s">
        <v>148</v>
      </c>
      <c r="H669" s="23">
        <v>2</v>
      </c>
      <c r="I669" s="61">
        <v>22</v>
      </c>
      <c r="J669" s="23">
        <v>12000</v>
      </c>
      <c r="K669" s="23">
        <v>3</v>
      </c>
      <c r="L669" s="23">
        <v>1</v>
      </c>
      <c r="M669" s="23" t="s">
        <v>161</v>
      </c>
      <c r="N669" s="23">
        <v>0</v>
      </c>
      <c r="P669" s="23">
        <v>0</v>
      </c>
      <c r="S669" s="23"/>
    </row>
    <row r="670" spans="1:19">
      <c r="A670" s="23" t="s">
        <v>162</v>
      </c>
      <c r="B670" s="23" t="s">
        <v>65</v>
      </c>
      <c r="C670" s="23" t="s">
        <v>22</v>
      </c>
      <c r="D670" s="23" t="s">
        <v>186</v>
      </c>
      <c r="E670" s="23">
        <v>1</v>
      </c>
      <c r="F670" s="23" t="s">
        <v>50</v>
      </c>
      <c r="G670" s="23" t="s">
        <v>149</v>
      </c>
      <c r="H670" s="23">
        <v>3</v>
      </c>
      <c r="I670" s="61">
        <v>22</v>
      </c>
      <c r="J670" s="23">
        <v>12000</v>
      </c>
      <c r="K670" s="23">
        <v>3</v>
      </c>
      <c r="L670" s="23">
        <v>1</v>
      </c>
      <c r="M670" s="23" t="s">
        <v>160</v>
      </c>
      <c r="N670" s="23">
        <v>1</v>
      </c>
      <c r="O670" s="23" t="s">
        <v>192</v>
      </c>
      <c r="P670" s="23">
        <v>1</v>
      </c>
      <c r="Q670" s="23" t="s">
        <v>193</v>
      </c>
      <c r="S670" s="23"/>
    </row>
    <row r="671" spans="1:19">
      <c r="A671" s="23" t="s">
        <v>162</v>
      </c>
      <c r="B671" s="23" t="s">
        <v>65</v>
      </c>
      <c r="C671" s="23" t="s">
        <v>22</v>
      </c>
      <c r="D671" s="23" t="s">
        <v>186</v>
      </c>
      <c r="E671" s="23">
        <v>1</v>
      </c>
      <c r="F671" s="23" t="s">
        <v>50</v>
      </c>
      <c r="G671" s="23" t="s">
        <v>150</v>
      </c>
      <c r="H671" s="23">
        <v>4</v>
      </c>
      <c r="I671" s="61">
        <v>22</v>
      </c>
      <c r="J671" s="23">
        <v>12000</v>
      </c>
      <c r="K671" s="23">
        <v>3</v>
      </c>
      <c r="L671" s="23">
        <v>1</v>
      </c>
      <c r="M671" s="23" t="s">
        <v>161</v>
      </c>
      <c r="N671" s="23">
        <v>1</v>
      </c>
      <c r="O671" s="23" t="s">
        <v>192</v>
      </c>
      <c r="P671" s="23">
        <v>1</v>
      </c>
      <c r="Q671" s="23" t="s">
        <v>193</v>
      </c>
      <c r="S671" s="23"/>
    </row>
    <row r="672" spans="1:19">
      <c r="A672" s="23" t="s">
        <v>162</v>
      </c>
      <c r="B672" s="23" t="s">
        <v>65</v>
      </c>
      <c r="C672" s="23" t="s">
        <v>22</v>
      </c>
      <c r="D672" s="23" t="s">
        <v>186</v>
      </c>
      <c r="E672" s="23">
        <v>1</v>
      </c>
      <c r="F672" s="23" t="s">
        <v>50</v>
      </c>
      <c r="G672" s="23" t="s">
        <v>151</v>
      </c>
      <c r="H672" s="23">
        <v>5</v>
      </c>
      <c r="I672" s="61">
        <v>22</v>
      </c>
      <c r="J672" s="23">
        <v>12000</v>
      </c>
      <c r="K672" s="23">
        <v>3</v>
      </c>
      <c r="L672" s="23">
        <v>1</v>
      </c>
      <c r="M672" s="23" t="s">
        <v>161</v>
      </c>
      <c r="N672" s="23">
        <v>1</v>
      </c>
      <c r="O672" s="23" t="s">
        <v>192</v>
      </c>
      <c r="P672" s="23">
        <v>1</v>
      </c>
      <c r="Q672" s="23" t="s">
        <v>193</v>
      </c>
      <c r="S672" s="23"/>
    </row>
    <row r="673" spans="1:19">
      <c r="A673" s="23" t="s">
        <v>162</v>
      </c>
      <c r="B673" s="23" t="s">
        <v>65</v>
      </c>
      <c r="C673" s="23" t="s">
        <v>22</v>
      </c>
      <c r="D673" s="23" t="s">
        <v>186</v>
      </c>
      <c r="E673" s="23">
        <v>1</v>
      </c>
      <c r="F673" s="23" t="s">
        <v>50</v>
      </c>
      <c r="G673" s="23" t="s">
        <v>152</v>
      </c>
      <c r="H673" s="23">
        <v>6</v>
      </c>
      <c r="I673" s="61">
        <v>22</v>
      </c>
      <c r="J673" s="23">
        <v>12000</v>
      </c>
      <c r="K673" s="23">
        <v>3</v>
      </c>
      <c r="L673" s="23">
        <v>1</v>
      </c>
      <c r="M673" s="23" t="s">
        <v>160</v>
      </c>
      <c r="N673" s="23">
        <v>1</v>
      </c>
      <c r="O673" s="23" t="s">
        <v>192</v>
      </c>
      <c r="P673" s="23">
        <v>1</v>
      </c>
      <c r="Q673" s="23" t="s">
        <v>193</v>
      </c>
      <c r="R673" s="23">
        <v>0</v>
      </c>
      <c r="S673" s="23">
        <v>13.507525431875759</v>
      </c>
    </row>
    <row r="674" spans="1:19">
      <c r="A674" s="23" t="s">
        <v>162</v>
      </c>
      <c r="B674" s="23" t="s">
        <v>65</v>
      </c>
      <c r="C674" s="23" t="s">
        <v>14</v>
      </c>
      <c r="D674" s="23" t="s">
        <v>186</v>
      </c>
      <c r="E674" s="23">
        <v>2</v>
      </c>
      <c r="F674" s="23" t="s">
        <v>52</v>
      </c>
      <c r="G674" s="23" t="s">
        <v>153</v>
      </c>
      <c r="H674" s="23">
        <v>1</v>
      </c>
      <c r="I674" s="61">
        <v>22</v>
      </c>
      <c r="J674" s="23">
        <v>12000</v>
      </c>
      <c r="K674" s="23">
        <v>3</v>
      </c>
      <c r="L674" s="23">
        <v>2</v>
      </c>
      <c r="M674" s="23" t="s">
        <v>160</v>
      </c>
      <c r="N674" s="23">
        <v>0</v>
      </c>
      <c r="P674" s="23">
        <v>0</v>
      </c>
      <c r="S674" s="23"/>
    </row>
    <row r="675" spans="1:19">
      <c r="A675" s="23" t="s">
        <v>162</v>
      </c>
      <c r="B675" s="23" t="s">
        <v>65</v>
      </c>
      <c r="C675" s="23" t="s">
        <v>14</v>
      </c>
      <c r="D675" s="23" t="s">
        <v>186</v>
      </c>
      <c r="E675" s="23">
        <v>2</v>
      </c>
      <c r="F675" s="23" t="s">
        <v>52</v>
      </c>
      <c r="G675" s="23" t="s">
        <v>154</v>
      </c>
      <c r="H675" s="23">
        <v>2</v>
      </c>
      <c r="I675" s="61">
        <v>22</v>
      </c>
      <c r="J675" s="23">
        <v>12000</v>
      </c>
      <c r="K675" s="23">
        <v>3</v>
      </c>
      <c r="L675" s="23">
        <v>2</v>
      </c>
      <c r="M675" s="23" t="s">
        <v>161</v>
      </c>
      <c r="N675" s="23">
        <v>0</v>
      </c>
      <c r="P675" s="23">
        <v>0</v>
      </c>
      <c r="S675" s="23"/>
    </row>
    <row r="676" spans="1:19">
      <c r="A676" s="23" t="s">
        <v>162</v>
      </c>
      <c r="B676" s="23" t="s">
        <v>65</v>
      </c>
      <c r="C676" s="23" t="s">
        <v>14</v>
      </c>
      <c r="D676" s="23" t="s">
        <v>186</v>
      </c>
      <c r="E676" s="23">
        <v>2</v>
      </c>
      <c r="F676" s="23" t="s">
        <v>51</v>
      </c>
      <c r="G676" s="23" t="s">
        <v>155</v>
      </c>
      <c r="H676" s="23">
        <v>3</v>
      </c>
      <c r="I676" s="61">
        <v>22</v>
      </c>
      <c r="J676" s="23">
        <v>12000</v>
      </c>
      <c r="K676" s="23">
        <v>3</v>
      </c>
      <c r="L676" s="23">
        <v>2</v>
      </c>
      <c r="M676" s="23" t="s">
        <v>161</v>
      </c>
      <c r="N676" s="23">
        <v>0</v>
      </c>
      <c r="P676" s="23">
        <v>0</v>
      </c>
      <c r="S676" s="23"/>
    </row>
    <row r="677" spans="1:19">
      <c r="A677" s="23" t="s">
        <v>162</v>
      </c>
      <c r="B677" s="23" t="s">
        <v>65</v>
      </c>
      <c r="C677" s="23" t="s">
        <v>14</v>
      </c>
      <c r="D677" s="23" t="s">
        <v>186</v>
      </c>
      <c r="E677" s="23">
        <v>2</v>
      </c>
      <c r="F677" s="23" t="s">
        <v>51</v>
      </c>
      <c r="G677" s="23" t="s">
        <v>156</v>
      </c>
      <c r="H677" s="23">
        <v>4</v>
      </c>
      <c r="I677" s="61">
        <v>22</v>
      </c>
      <c r="J677" s="23">
        <v>12000</v>
      </c>
      <c r="K677" s="23">
        <v>3</v>
      </c>
      <c r="L677" s="23">
        <v>2</v>
      </c>
      <c r="M677" s="23" t="s">
        <v>160</v>
      </c>
      <c r="N677" s="23">
        <v>0</v>
      </c>
      <c r="P677" s="23">
        <v>0</v>
      </c>
      <c r="S677" s="23"/>
    </row>
    <row r="678" spans="1:19">
      <c r="A678" s="23" t="s">
        <v>162</v>
      </c>
      <c r="B678" s="23" t="s">
        <v>65</v>
      </c>
      <c r="C678" s="23" t="s">
        <v>14</v>
      </c>
      <c r="D678" s="23" t="s">
        <v>186</v>
      </c>
      <c r="E678" s="23">
        <v>2</v>
      </c>
      <c r="F678" s="23" t="s">
        <v>51</v>
      </c>
      <c r="G678" s="23" t="s">
        <v>157</v>
      </c>
      <c r="H678" s="23">
        <v>5</v>
      </c>
      <c r="I678" s="61">
        <v>22</v>
      </c>
      <c r="J678" s="23">
        <v>12000</v>
      </c>
      <c r="K678" s="23">
        <v>3</v>
      </c>
      <c r="L678" s="23">
        <v>2</v>
      </c>
      <c r="M678" s="23" t="s">
        <v>161</v>
      </c>
      <c r="N678" s="23">
        <v>1</v>
      </c>
      <c r="O678" s="23" t="s">
        <v>190</v>
      </c>
      <c r="P678" s="23">
        <v>1</v>
      </c>
      <c r="S678" s="26"/>
    </row>
    <row r="679" spans="1:19">
      <c r="A679" s="23" t="s">
        <v>162</v>
      </c>
      <c r="B679" s="23" t="s">
        <v>65</v>
      </c>
      <c r="C679" s="23" t="s">
        <v>14</v>
      </c>
      <c r="D679" s="23" t="s">
        <v>186</v>
      </c>
      <c r="E679" s="23">
        <v>2</v>
      </c>
      <c r="F679" s="23" t="s">
        <v>51</v>
      </c>
      <c r="G679" s="23" t="s">
        <v>158</v>
      </c>
      <c r="H679" s="23">
        <v>6</v>
      </c>
      <c r="I679" s="61">
        <v>22</v>
      </c>
      <c r="J679" s="23">
        <v>12000</v>
      </c>
      <c r="K679" s="23">
        <v>3</v>
      </c>
      <c r="L679" s="23">
        <v>2</v>
      </c>
      <c r="M679" s="23" t="s">
        <v>160</v>
      </c>
      <c r="N679" s="23">
        <v>1</v>
      </c>
      <c r="O679" s="23" t="s">
        <v>190</v>
      </c>
      <c r="P679" s="23">
        <v>1</v>
      </c>
      <c r="R679" s="23">
        <v>0</v>
      </c>
      <c r="S679" s="26">
        <v>3.156637884938911</v>
      </c>
    </row>
    <row r="680" spans="1:19">
      <c r="A680" s="23" t="s">
        <v>162</v>
      </c>
      <c r="B680" s="23" t="s">
        <v>65</v>
      </c>
      <c r="C680" s="23" t="s">
        <v>21</v>
      </c>
      <c r="D680" s="23" t="s">
        <v>186</v>
      </c>
      <c r="E680" s="23">
        <v>3</v>
      </c>
      <c r="F680" s="23" t="s">
        <v>58</v>
      </c>
      <c r="G680" s="23" t="s">
        <v>156</v>
      </c>
      <c r="H680" s="23">
        <v>1</v>
      </c>
      <c r="I680" s="61">
        <v>22</v>
      </c>
      <c r="J680" s="23">
        <v>12000</v>
      </c>
      <c r="K680" s="23">
        <v>3</v>
      </c>
      <c r="L680" s="23">
        <v>3</v>
      </c>
      <c r="M680" s="23" t="s">
        <v>161</v>
      </c>
      <c r="N680" s="23">
        <v>1</v>
      </c>
      <c r="O680" s="23" t="s">
        <v>192</v>
      </c>
      <c r="P680" s="23">
        <v>1</v>
      </c>
      <c r="Q680" s="23" t="s">
        <v>462</v>
      </c>
    </row>
    <row r="681" spans="1:19">
      <c r="A681" s="23" t="s">
        <v>162</v>
      </c>
      <c r="B681" s="23" t="s">
        <v>65</v>
      </c>
      <c r="C681" s="23" t="s">
        <v>21</v>
      </c>
      <c r="D681" s="23" t="s">
        <v>186</v>
      </c>
      <c r="E681" s="23">
        <v>3</v>
      </c>
      <c r="F681" s="23" t="s">
        <v>58</v>
      </c>
      <c r="G681" s="23" t="s">
        <v>157</v>
      </c>
      <c r="H681" s="23">
        <v>2</v>
      </c>
      <c r="I681" s="61">
        <v>22</v>
      </c>
      <c r="J681" s="23">
        <v>12000</v>
      </c>
      <c r="K681" s="23">
        <v>3</v>
      </c>
      <c r="L681" s="23">
        <v>3</v>
      </c>
      <c r="M681" s="23" t="s">
        <v>160</v>
      </c>
      <c r="N681" s="23">
        <v>1</v>
      </c>
      <c r="O681" s="23" t="s">
        <v>192</v>
      </c>
      <c r="P681" s="23">
        <v>1</v>
      </c>
      <c r="Q681" s="23" t="s">
        <v>193</v>
      </c>
    </row>
    <row r="682" spans="1:19">
      <c r="A682" s="23" t="s">
        <v>162</v>
      </c>
      <c r="B682" s="23" t="s">
        <v>65</v>
      </c>
      <c r="C682" s="23" t="s">
        <v>21</v>
      </c>
      <c r="D682" s="23" t="s">
        <v>186</v>
      </c>
      <c r="E682" s="23">
        <v>3</v>
      </c>
      <c r="F682" s="23" t="s">
        <v>58</v>
      </c>
      <c r="G682" s="23" t="s">
        <v>153</v>
      </c>
      <c r="H682" s="23">
        <v>3</v>
      </c>
      <c r="I682" s="61">
        <v>22</v>
      </c>
      <c r="J682" s="23">
        <v>12000</v>
      </c>
      <c r="K682" s="23">
        <v>3</v>
      </c>
      <c r="L682" s="23">
        <v>3</v>
      </c>
      <c r="M682" s="23" t="s">
        <v>161</v>
      </c>
      <c r="N682" s="23">
        <v>1</v>
      </c>
      <c r="O682" s="23" t="s">
        <v>192</v>
      </c>
      <c r="P682" s="23">
        <v>1</v>
      </c>
      <c r="Q682" s="23" t="s">
        <v>462</v>
      </c>
    </row>
    <row r="683" spans="1:19">
      <c r="A683" s="23" t="s">
        <v>162</v>
      </c>
      <c r="B683" s="23" t="s">
        <v>65</v>
      </c>
      <c r="C683" s="23" t="s">
        <v>21</v>
      </c>
      <c r="D683" s="23" t="s">
        <v>186</v>
      </c>
      <c r="E683" s="23">
        <v>3</v>
      </c>
      <c r="F683" s="23" t="s">
        <v>58</v>
      </c>
      <c r="G683" s="23" t="s">
        <v>158</v>
      </c>
      <c r="H683" s="23">
        <v>4</v>
      </c>
      <c r="I683" s="61">
        <v>22</v>
      </c>
      <c r="J683" s="23">
        <v>12000</v>
      </c>
      <c r="K683" s="23">
        <v>3</v>
      </c>
      <c r="L683" s="23">
        <v>3</v>
      </c>
      <c r="M683" s="23" t="s">
        <v>161</v>
      </c>
      <c r="N683" s="23">
        <v>1</v>
      </c>
      <c r="O683" s="23" t="s">
        <v>192</v>
      </c>
      <c r="P683" s="23">
        <v>1</v>
      </c>
      <c r="Q683" s="23" t="s">
        <v>193</v>
      </c>
    </row>
    <row r="684" spans="1:19">
      <c r="A684" s="23" t="s">
        <v>162</v>
      </c>
      <c r="B684" s="23" t="s">
        <v>65</v>
      </c>
      <c r="C684" s="23" t="s">
        <v>21</v>
      </c>
      <c r="D684" s="23" t="s">
        <v>186</v>
      </c>
      <c r="E684" s="23">
        <v>3</v>
      </c>
      <c r="F684" s="23" t="s">
        <v>58</v>
      </c>
      <c r="G684" s="23" t="s">
        <v>155</v>
      </c>
      <c r="H684" s="23">
        <v>5</v>
      </c>
      <c r="I684" s="61">
        <v>22</v>
      </c>
      <c r="J684" s="23">
        <v>12000</v>
      </c>
      <c r="K684" s="23">
        <v>3</v>
      </c>
      <c r="L684" s="23">
        <v>3</v>
      </c>
      <c r="M684" s="23" t="s">
        <v>160</v>
      </c>
      <c r="N684" s="23">
        <v>1</v>
      </c>
      <c r="O684" s="23" t="s">
        <v>192</v>
      </c>
      <c r="P684" s="23">
        <v>1</v>
      </c>
      <c r="Q684" s="23" t="s">
        <v>193</v>
      </c>
      <c r="S684" s="26"/>
    </row>
    <row r="685" spans="1:19">
      <c r="A685" s="23" t="s">
        <v>162</v>
      </c>
      <c r="B685" s="23" t="s">
        <v>65</v>
      </c>
      <c r="C685" s="23" t="s">
        <v>21</v>
      </c>
      <c r="D685" s="23" t="s">
        <v>186</v>
      </c>
      <c r="E685" s="23">
        <v>3</v>
      </c>
      <c r="F685" s="23" t="s">
        <v>58</v>
      </c>
      <c r="G685" s="23" t="s">
        <v>154</v>
      </c>
      <c r="H685" s="23">
        <v>6</v>
      </c>
      <c r="I685" s="61">
        <v>22</v>
      </c>
      <c r="J685" s="23">
        <v>12000</v>
      </c>
      <c r="K685" s="23">
        <v>3</v>
      </c>
      <c r="L685" s="23">
        <v>3</v>
      </c>
      <c r="M685" s="23" t="s">
        <v>160</v>
      </c>
      <c r="N685" s="23">
        <v>1</v>
      </c>
      <c r="O685" s="23" t="s">
        <v>192</v>
      </c>
      <c r="P685" s="23">
        <v>1</v>
      </c>
      <c r="Q685" s="23" t="s">
        <v>462</v>
      </c>
      <c r="R685" s="23">
        <v>0</v>
      </c>
      <c r="S685" s="26">
        <v>9.9965160187026392</v>
      </c>
    </row>
  </sheetData>
  <sortState xmlns:xlrd2="http://schemas.microsoft.com/office/spreadsheetml/2017/richdata2" ref="A2:S686">
    <sortCondition ref="A2:A686"/>
    <sortCondition ref="F2:F686"/>
    <sortCondition ref="H2:H686"/>
  </sortState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C245-600E-584D-96DE-7261F449F25E}">
  <sheetPr codeName="Sheet5"/>
  <dimension ref="A1:V685"/>
  <sheetViews>
    <sheetView topLeftCell="P1" zoomScale="75" workbookViewId="0">
      <selection activeCell="U33" sqref="U33"/>
    </sheetView>
  </sheetViews>
  <sheetFormatPr baseColWidth="10" defaultColWidth="21.1640625" defaultRowHeight="21"/>
  <cols>
    <col min="1" max="12" width="21.1640625" style="32"/>
    <col min="13" max="13" width="21.1640625" style="42"/>
    <col min="14" max="14" width="21.1640625" style="32"/>
    <col min="15" max="16" width="29.83203125" style="52" customWidth="1"/>
    <col min="17" max="17" width="25" style="65" customWidth="1"/>
    <col min="18" max="19" width="22.5" style="76" customWidth="1"/>
    <col min="20" max="20" width="22.5" style="66" customWidth="1"/>
    <col min="21" max="21" width="26.83203125" style="67" customWidth="1"/>
    <col min="22" max="22" width="22.5" style="66" customWidth="1"/>
    <col min="23" max="16384" width="21.1640625" style="53"/>
  </cols>
  <sheetData>
    <row r="1" spans="1:22" s="54" customFormat="1" ht="73" customHeight="1">
      <c r="A1" s="31" t="s">
        <v>196</v>
      </c>
      <c r="B1" s="31" t="s">
        <v>464</v>
      </c>
      <c r="C1" s="31" t="s">
        <v>12</v>
      </c>
      <c r="D1" s="31" t="s">
        <v>401</v>
      </c>
      <c r="E1" s="31" t="s">
        <v>77</v>
      </c>
      <c r="F1" s="31" t="s">
        <v>403</v>
      </c>
      <c r="G1" s="31" t="s">
        <v>55</v>
      </c>
      <c r="H1" s="31" t="s">
        <v>53</v>
      </c>
      <c r="I1" s="31" t="s">
        <v>404</v>
      </c>
      <c r="J1" s="31" t="s">
        <v>399</v>
      </c>
      <c r="K1" s="31" t="s">
        <v>159</v>
      </c>
      <c r="L1" s="31" t="s">
        <v>277</v>
      </c>
      <c r="M1" s="41" t="s">
        <v>278</v>
      </c>
      <c r="N1" s="31" t="s">
        <v>457</v>
      </c>
      <c r="O1" s="74" t="s">
        <v>409</v>
      </c>
      <c r="P1" s="50" t="s">
        <v>393</v>
      </c>
      <c r="Q1" s="50" t="s">
        <v>408</v>
      </c>
      <c r="R1" s="75" t="s">
        <v>405</v>
      </c>
      <c r="S1" s="75" t="s">
        <v>405</v>
      </c>
      <c r="T1" s="68" t="s">
        <v>406</v>
      </c>
      <c r="U1" s="63" t="s">
        <v>400</v>
      </c>
      <c r="V1" s="63" t="s">
        <v>407</v>
      </c>
    </row>
    <row r="2" spans="1:22">
      <c r="A2" s="32" t="s">
        <v>56</v>
      </c>
      <c r="B2" s="35" t="s">
        <v>57</v>
      </c>
      <c r="C2" s="35" t="s">
        <v>14</v>
      </c>
      <c r="D2" s="35">
        <v>52</v>
      </c>
      <c r="E2" s="35">
        <v>4000</v>
      </c>
      <c r="F2" s="35">
        <v>22</v>
      </c>
      <c r="G2" s="35">
        <v>1</v>
      </c>
      <c r="H2" s="32" t="s">
        <v>197</v>
      </c>
      <c r="I2" s="32">
        <v>1</v>
      </c>
      <c r="J2" s="32">
        <v>1</v>
      </c>
      <c r="K2" s="32" t="s">
        <v>275</v>
      </c>
      <c r="L2" s="32" t="s">
        <v>154</v>
      </c>
      <c r="M2" s="42" t="s">
        <v>279</v>
      </c>
      <c r="N2" s="35">
        <v>0</v>
      </c>
      <c r="O2" s="51">
        <v>1.6449999999999818</v>
      </c>
      <c r="P2" s="51">
        <v>1.6449999999999818</v>
      </c>
      <c r="Q2" s="64">
        <v>1</v>
      </c>
      <c r="R2" s="76">
        <v>2.5447656778069851</v>
      </c>
      <c r="S2" s="76">
        <v>2.5447656778069851</v>
      </c>
      <c r="T2" s="66">
        <v>2.6604069890575359</v>
      </c>
      <c r="U2" s="67">
        <f t="shared" ref="U2:U41" si="0">AVERAGE(S2:T2)</f>
        <v>2.6025863334322605</v>
      </c>
      <c r="V2" s="66">
        <v>2.61273161640122</v>
      </c>
    </row>
    <row r="3" spans="1:22">
      <c r="A3" s="32" t="s">
        <v>56</v>
      </c>
      <c r="B3" s="35" t="s">
        <v>57</v>
      </c>
      <c r="C3" s="35" t="s">
        <v>14</v>
      </c>
      <c r="D3" s="35">
        <v>52</v>
      </c>
      <c r="E3" s="35">
        <v>4000</v>
      </c>
      <c r="F3" s="35">
        <v>22</v>
      </c>
      <c r="G3" s="35">
        <v>1</v>
      </c>
      <c r="H3" s="32" t="s">
        <v>197</v>
      </c>
      <c r="I3" s="32">
        <v>2</v>
      </c>
      <c r="J3" s="32">
        <v>2</v>
      </c>
      <c r="K3" s="32" t="s">
        <v>276</v>
      </c>
      <c r="L3" s="32" t="s">
        <v>155</v>
      </c>
      <c r="M3" s="42" t="s">
        <v>279</v>
      </c>
      <c r="N3" s="35">
        <v>0.2112</v>
      </c>
      <c r="O3" s="51">
        <v>1.6610000000000582</v>
      </c>
      <c r="P3" s="51">
        <v>1.6610000000000582</v>
      </c>
      <c r="Q3" s="64">
        <v>1</v>
      </c>
      <c r="R3" s="76">
        <v>2.5718270361041138</v>
      </c>
      <c r="S3" s="76">
        <v>2.5718270361041138</v>
      </c>
      <c r="T3" s="66">
        <v>2.7135818505338078</v>
      </c>
      <c r="U3" s="67">
        <f t="shared" si="0"/>
        <v>2.6427044433189608</v>
      </c>
      <c r="V3" s="66">
        <v>2.6578123930160902</v>
      </c>
    </row>
    <row r="4" spans="1:22">
      <c r="A4" s="32" t="s">
        <v>56</v>
      </c>
      <c r="B4" s="35" t="s">
        <v>57</v>
      </c>
      <c r="C4" s="35" t="s">
        <v>14</v>
      </c>
      <c r="D4" s="35">
        <v>52</v>
      </c>
      <c r="E4" s="35">
        <v>4000</v>
      </c>
      <c r="F4" s="35">
        <v>22</v>
      </c>
      <c r="G4" s="35">
        <v>1</v>
      </c>
      <c r="H4" s="32" t="s">
        <v>197</v>
      </c>
      <c r="I4" s="32">
        <v>3</v>
      </c>
      <c r="J4" s="32">
        <v>3</v>
      </c>
      <c r="K4" s="32" t="s">
        <v>275</v>
      </c>
      <c r="L4" s="32" t="s">
        <v>158</v>
      </c>
      <c r="M4" s="42" t="s">
        <v>279</v>
      </c>
      <c r="N4" s="35">
        <v>0</v>
      </c>
      <c r="O4" s="51">
        <v>2.1489999999998872</v>
      </c>
      <c r="P4" s="51">
        <v>2.1489999999998872</v>
      </c>
      <c r="Q4" s="64">
        <v>1</v>
      </c>
      <c r="R4" s="76">
        <v>2.6904887148779362</v>
      </c>
      <c r="S4" s="76">
        <v>2.6904887148779362</v>
      </c>
      <c r="T4" s="66">
        <v>2.7926264972776771</v>
      </c>
      <c r="U4" s="67">
        <f t="shared" si="0"/>
        <v>2.7415576060778069</v>
      </c>
      <c r="V4" s="66">
        <v>2.7462125520110949</v>
      </c>
    </row>
    <row r="5" spans="1:22">
      <c r="A5" s="32" t="s">
        <v>56</v>
      </c>
      <c r="B5" s="35" t="s">
        <v>57</v>
      </c>
      <c r="C5" s="35" t="s">
        <v>14</v>
      </c>
      <c r="D5" s="35">
        <v>52</v>
      </c>
      <c r="E5" s="35">
        <v>4000</v>
      </c>
      <c r="F5" s="35">
        <v>22</v>
      </c>
      <c r="G5" s="35">
        <v>1</v>
      </c>
      <c r="H5" s="32" t="s">
        <v>197</v>
      </c>
      <c r="I5" s="32">
        <v>4</v>
      </c>
      <c r="J5" s="32">
        <v>4</v>
      </c>
      <c r="K5" s="32" t="s">
        <v>276</v>
      </c>
      <c r="L5" s="32" t="s">
        <v>157</v>
      </c>
      <c r="M5" s="42" t="s">
        <v>279</v>
      </c>
      <c r="N5" s="35">
        <v>0</v>
      </c>
      <c r="O5" s="51">
        <v>3.6799999999998363</v>
      </c>
      <c r="P5" s="51">
        <v>3.6799999999998363</v>
      </c>
      <c r="Q5" s="64">
        <v>1</v>
      </c>
      <c r="R5" s="76">
        <v>2.5688469827586209</v>
      </c>
      <c r="S5" s="76">
        <v>2.5688469827586209</v>
      </c>
      <c r="T5" s="66">
        <v>2.6768766048502139</v>
      </c>
      <c r="U5" s="67">
        <f t="shared" si="0"/>
        <v>2.6228617938044172</v>
      </c>
      <c r="V5" s="66">
        <v>2.63372439862543</v>
      </c>
    </row>
    <row r="6" spans="1:22">
      <c r="A6" s="32" t="s">
        <v>56</v>
      </c>
      <c r="B6" s="35" t="s">
        <v>57</v>
      </c>
      <c r="C6" s="35" t="s">
        <v>14</v>
      </c>
      <c r="D6" s="35">
        <v>52</v>
      </c>
      <c r="E6" s="35">
        <v>4000</v>
      </c>
      <c r="F6" s="35">
        <v>22</v>
      </c>
      <c r="G6" s="35">
        <v>1</v>
      </c>
      <c r="H6" s="32" t="s">
        <v>197</v>
      </c>
      <c r="I6" s="32">
        <v>5</v>
      </c>
      <c r="K6" s="32" t="s">
        <v>276</v>
      </c>
      <c r="L6" s="32" t="s">
        <v>156</v>
      </c>
      <c r="M6" s="42" t="s">
        <v>279</v>
      </c>
      <c r="N6" s="35">
        <v>1.2999999999999999E-3</v>
      </c>
      <c r="O6" s="51"/>
      <c r="P6" s="51"/>
      <c r="Q6" s="64"/>
      <c r="R6" s="76">
        <v>2.6584088471849872</v>
      </c>
      <c r="S6" s="76">
        <v>2.6584088471849872</v>
      </c>
      <c r="T6" s="66">
        <v>2.7525407647907651</v>
      </c>
      <c r="U6" s="67">
        <f t="shared" si="0"/>
        <v>2.7054748059878762</v>
      </c>
      <c r="V6" s="66">
        <v>2.7202595262615858</v>
      </c>
    </row>
    <row r="7" spans="1:22">
      <c r="A7" s="32" t="s">
        <v>56</v>
      </c>
      <c r="B7" s="35" t="s">
        <v>57</v>
      </c>
      <c r="C7" s="35" t="s">
        <v>14</v>
      </c>
      <c r="D7" s="35">
        <v>52</v>
      </c>
      <c r="E7" s="35">
        <v>4000</v>
      </c>
      <c r="F7" s="35">
        <v>22</v>
      </c>
      <c r="G7" s="35">
        <v>1</v>
      </c>
      <c r="H7" s="32" t="s">
        <v>197</v>
      </c>
      <c r="I7" s="32">
        <v>6</v>
      </c>
      <c r="J7" s="32">
        <v>5</v>
      </c>
      <c r="K7" s="32" t="s">
        <v>275</v>
      </c>
      <c r="L7" s="32" t="s">
        <v>153</v>
      </c>
      <c r="M7" s="42" t="s">
        <v>279</v>
      </c>
      <c r="N7" s="35">
        <v>0</v>
      </c>
      <c r="O7" s="51" t="s">
        <v>394</v>
      </c>
      <c r="P7" s="51" t="s">
        <v>394</v>
      </c>
      <c r="Q7" s="64"/>
      <c r="R7" s="76">
        <v>2.7022862595419852</v>
      </c>
      <c r="S7" s="76">
        <v>2.7022862595419852</v>
      </c>
      <c r="T7" s="66">
        <v>2.7649776357827478</v>
      </c>
      <c r="U7" s="67">
        <f t="shared" si="0"/>
        <v>2.7336319476623663</v>
      </c>
      <c r="V7" s="66">
        <v>2.7478137720488469</v>
      </c>
    </row>
    <row r="8" spans="1:22">
      <c r="A8" s="32" t="s">
        <v>56</v>
      </c>
      <c r="B8" s="35" t="s">
        <v>57</v>
      </c>
      <c r="C8" s="35" t="s">
        <v>22</v>
      </c>
      <c r="D8" s="35">
        <v>52</v>
      </c>
      <c r="E8" s="35">
        <v>4000</v>
      </c>
      <c r="F8" s="35">
        <v>22</v>
      </c>
      <c r="G8" s="35">
        <v>2</v>
      </c>
      <c r="H8" s="32" t="s">
        <v>199</v>
      </c>
      <c r="I8" s="32">
        <v>1</v>
      </c>
      <c r="K8" s="32" t="s">
        <v>276</v>
      </c>
      <c r="L8" s="32" t="s">
        <v>156</v>
      </c>
      <c r="M8" s="42" t="s">
        <v>280</v>
      </c>
      <c r="N8" s="35">
        <v>0</v>
      </c>
      <c r="O8" s="51"/>
      <c r="P8" s="51"/>
      <c r="Q8" s="64" t="s">
        <v>274</v>
      </c>
      <c r="R8" s="76">
        <v>2.737997141690486</v>
      </c>
      <c r="S8" s="76">
        <v>2.737997141690486</v>
      </c>
      <c r="T8" s="66">
        <v>2.8807192233009711</v>
      </c>
      <c r="U8" s="67">
        <f t="shared" si="0"/>
        <v>2.8093581824957283</v>
      </c>
      <c r="V8" s="66">
        <v>2.8119576210826209</v>
      </c>
    </row>
    <row r="9" spans="1:22">
      <c r="A9" s="32" t="s">
        <v>56</v>
      </c>
      <c r="B9" s="35" t="s">
        <v>57</v>
      </c>
      <c r="C9" s="35" t="s">
        <v>22</v>
      </c>
      <c r="D9" s="35">
        <v>52</v>
      </c>
      <c r="E9" s="35">
        <v>4000</v>
      </c>
      <c r="F9" s="35">
        <v>22</v>
      </c>
      <c r="G9" s="35">
        <v>2</v>
      </c>
      <c r="H9" s="32" t="s">
        <v>199</v>
      </c>
      <c r="I9" s="32">
        <v>2</v>
      </c>
      <c r="J9" s="32">
        <v>1</v>
      </c>
      <c r="K9" s="32" t="s">
        <v>275</v>
      </c>
      <c r="L9" s="32" t="s">
        <v>157</v>
      </c>
      <c r="M9" s="42" t="s">
        <v>280</v>
      </c>
      <c r="N9" s="35">
        <v>0</v>
      </c>
      <c r="O9" s="51">
        <v>3.0799999999999841</v>
      </c>
      <c r="P9" s="51">
        <v>3.0799999999999841</v>
      </c>
      <c r="Q9" s="64">
        <v>1</v>
      </c>
      <c r="R9" s="76">
        <v>2.6989809115699259</v>
      </c>
      <c r="S9" s="76">
        <v>2.6989809115699259</v>
      </c>
      <c r="T9" s="66">
        <v>2.8577564727954972</v>
      </c>
      <c r="U9" s="67">
        <f t="shared" si="0"/>
        <v>2.7783686921827115</v>
      </c>
      <c r="V9" s="66">
        <v>2.7792504446816082</v>
      </c>
    </row>
    <row r="10" spans="1:22">
      <c r="A10" s="32" t="s">
        <v>56</v>
      </c>
      <c r="B10" s="35" t="s">
        <v>57</v>
      </c>
      <c r="C10" s="35" t="s">
        <v>22</v>
      </c>
      <c r="D10" s="35">
        <v>52</v>
      </c>
      <c r="E10" s="35">
        <v>4000</v>
      </c>
      <c r="F10" s="35">
        <v>22</v>
      </c>
      <c r="G10" s="35">
        <v>2</v>
      </c>
      <c r="H10" s="32" t="s">
        <v>199</v>
      </c>
      <c r="I10" s="32">
        <v>3</v>
      </c>
      <c r="J10" s="32">
        <v>2</v>
      </c>
      <c r="K10" s="32" t="s">
        <v>276</v>
      </c>
      <c r="L10" s="32" t="s">
        <v>153</v>
      </c>
      <c r="M10" s="42" t="s">
        <v>209</v>
      </c>
      <c r="N10" s="35">
        <v>0</v>
      </c>
      <c r="O10" s="51">
        <v>11.560000000000059</v>
      </c>
      <c r="P10" s="51">
        <v>11.560000000000059</v>
      </c>
      <c r="Q10" s="64">
        <v>1</v>
      </c>
      <c r="R10" s="76">
        <v>2.7522991623454329</v>
      </c>
      <c r="S10" s="76">
        <v>2.7522991623454329</v>
      </c>
      <c r="T10" s="66">
        <v>2.8849593984962412</v>
      </c>
      <c r="U10" s="67">
        <f t="shared" si="0"/>
        <v>2.8186292804208373</v>
      </c>
      <c r="V10" s="66">
        <v>2.819652551197501</v>
      </c>
    </row>
    <row r="11" spans="1:22">
      <c r="A11" s="32" t="s">
        <v>56</v>
      </c>
      <c r="B11" s="35" t="s">
        <v>57</v>
      </c>
      <c r="C11" s="35" t="s">
        <v>22</v>
      </c>
      <c r="D11" s="35">
        <v>52</v>
      </c>
      <c r="E11" s="35">
        <v>4000</v>
      </c>
      <c r="F11" s="35">
        <v>22</v>
      </c>
      <c r="G11" s="35">
        <v>2</v>
      </c>
      <c r="H11" s="32" t="s">
        <v>199</v>
      </c>
      <c r="I11" s="32">
        <v>4</v>
      </c>
      <c r="J11" s="32">
        <v>3</v>
      </c>
      <c r="K11" s="32" t="s">
        <v>276</v>
      </c>
      <c r="L11" s="32" t="s">
        <v>158</v>
      </c>
      <c r="M11" s="42" t="s">
        <v>209</v>
      </c>
      <c r="N11" s="35">
        <v>0</v>
      </c>
      <c r="O11" s="51">
        <v>3.7100000000000364</v>
      </c>
      <c r="P11" s="51">
        <v>3.7100000000000364</v>
      </c>
      <c r="Q11" s="64">
        <v>1</v>
      </c>
      <c r="R11" s="76">
        <v>2.6977733590733588</v>
      </c>
      <c r="S11" s="76">
        <v>2.6977733590733588</v>
      </c>
      <c r="T11" s="66">
        <v>2.8184958584337352</v>
      </c>
      <c r="U11" s="67">
        <f t="shared" si="0"/>
        <v>2.7581346087535472</v>
      </c>
      <c r="V11" s="66">
        <v>2.7657967707967712</v>
      </c>
    </row>
    <row r="12" spans="1:22">
      <c r="A12" s="32" t="s">
        <v>56</v>
      </c>
      <c r="B12" s="35" t="s">
        <v>57</v>
      </c>
      <c r="C12" s="35" t="s">
        <v>22</v>
      </c>
      <c r="D12" s="35">
        <v>52</v>
      </c>
      <c r="E12" s="35">
        <v>4000</v>
      </c>
      <c r="F12" s="35">
        <v>22</v>
      </c>
      <c r="G12" s="35">
        <v>2</v>
      </c>
      <c r="H12" s="32" t="s">
        <v>199</v>
      </c>
      <c r="I12" s="32">
        <v>5</v>
      </c>
      <c r="J12" s="32">
        <v>4</v>
      </c>
      <c r="K12" s="32" t="s">
        <v>275</v>
      </c>
      <c r="L12" s="32" t="s">
        <v>155</v>
      </c>
      <c r="M12" s="42" t="s">
        <v>209</v>
      </c>
      <c r="N12" s="35">
        <v>0</v>
      </c>
      <c r="O12" s="51">
        <v>2.2599999999999909</v>
      </c>
      <c r="P12" s="51">
        <v>2.2599999999999909</v>
      </c>
      <c r="Q12" s="64">
        <v>1</v>
      </c>
      <c r="R12" s="76">
        <v>2.6469849325931798</v>
      </c>
      <c r="S12" s="76">
        <v>2.6469849325931798</v>
      </c>
      <c r="T12" s="66">
        <v>2.7686231830041002</v>
      </c>
      <c r="U12" s="67">
        <f t="shared" si="0"/>
        <v>2.70780405779864</v>
      </c>
      <c r="V12" s="66">
        <v>2.718187543736879</v>
      </c>
    </row>
    <row r="13" spans="1:22">
      <c r="A13" s="32" t="s">
        <v>56</v>
      </c>
      <c r="B13" s="35" t="s">
        <v>57</v>
      </c>
      <c r="C13" s="35" t="s">
        <v>22</v>
      </c>
      <c r="D13" s="35">
        <v>52</v>
      </c>
      <c r="E13" s="35">
        <v>4000</v>
      </c>
      <c r="F13" s="35">
        <v>22</v>
      </c>
      <c r="G13" s="35">
        <v>2</v>
      </c>
      <c r="H13" s="32" t="s">
        <v>199</v>
      </c>
      <c r="I13" s="32">
        <v>6</v>
      </c>
      <c r="J13" s="32">
        <v>5</v>
      </c>
      <c r="K13" s="32" t="s">
        <v>275</v>
      </c>
      <c r="L13" s="32" t="s">
        <v>154</v>
      </c>
      <c r="M13" s="42" t="s">
        <v>209</v>
      </c>
      <c r="N13" s="35">
        <v>4.8999999999999998E-3</v>
      </c>
      <c r="O13" s="51">
        <v>4.3799999999998818</v>
      </c>
      <c r="P13" s="51">
        <v>4.3799999999998818</v>
      </c>
      <c r="Q13" s="64">
        <v>1</v>
      </c>
      <c r="R13" s="76">
        <v>2.6409000372995148</v>
      </c>
      <c r="S13" s="76">
        <v>2.6409000372995148</v>
      </c>
      <c r="T13" s="66">
        <v>2.763309480566654</v>
      </c>
      <c r="U13" s="67">
        <f t="shared" si="0"/>
        <v>2.7021047589330847</v>
      </c>
      <c r="V13" s="66">
        <v>2.7027829377364978</v>
      </c>
    </row>
    <row r="14" spans="1:22">
      <c r="A14" s="32" t="s">
        <v>56</v>
      </c>
      <c r="B14" s="35" t="s">
        <v>57</v>
      </c>
      <c r="C14" s="35" t="s">
        <v>21</v>
      </c>
      <c r="D14" s="35">
        <v>52</v>
      </c>
      <c r="E14" s="35">
        <v>4000</v>
      </c>
      <c r="F14" s="35">
        <v>22</v>
      </c>
      <c r="G14" s="35">
        <v>3</v>
      </c>
      <c r="H14" s="32" t="s">
        <v>194</v>
      </c>
      <c r="I14" s="32">
        <v>1</v>
      </c>
      <c r="J14" s="32">
        <v>1</v>
      </c>
      <c r="K14" s="32" t="s">
        <v>275</v>
      </c>
      <c r="L14" s="32" t="s">
        <v>153</v>
      </c>
      <c r="M14" s="42" t="s">
        <v>281</v>
      </c>
      <c r="N14" s="35">
        <v>1.1900000000000001E-2</v>
      </c>
      <c r="O14" s="51">
        <v>3.8199999999999932</v>
      </c>
      <c r="P14" s="51">
        <v>3.8199999999999932</v>
      </c>
      <c r="Q14" s="64">
        <v>1</v>
      </c>
      <c r="R14" s="76">
        <v>2.7787603305785118</v>
      </c>
      <c r="S14" s="76">
        <v>2.7787603305785118</v>
      </c>
      <c r="T14" s="66">
        <v>2.9149821220365331</v>
      </c>
      <c r="U14" s="67">
        <f t="shared" si="0"/>
        <v>2.8468712263075222</v>
      </c>
      <c r="V14" s="66">
        <v>2.8483047815617479</v>
      </c>
    </row>
    <row r="15" spans="1:22">
      <c r="A15" s="32" t="s">
        <v>56</v>
      </c>
      <c r="B15" s="35" t="s">
        <v>57</v>
      </c>
      <c r="C15" s="35" t="s">
        <v>21</v>
      </c>
      <c r="D15" s="35">
        <v>52</v>
      </c>
      <c r="E15" s="35">
        <v>4000</v>
      </c>
      <c r="F15" s="35">
        <v>22</v>
      </c>
      <c r="G15" s="35">
        <v>3</v>
      </c>
      <c r="H15" s="32" t="s">
        <v>194</v>
      </c>
      <c r="I15" s="32">
        <v>2</v>
      </c>
      <c r="J15" s="32">
        <v>2</v>
      </c>
      <c r="K15" s="32" t="s">
        <v>276</v>
      </c>
      <c r="L15" s="32" t="s">
        <v>154</v>
      </c>
      <c r="M15" s="42" t="s">
        <v>281</v>
      </c>
      <c r="N15" s="35">
        <v>0</v>
      </c>
      <c r="O15" s="51">
        <v>5.8089999999999691</v>
      </c>
      <c r="P15" s="51">
        <v>5.8089999999999691</v>
      </c>
      <c r="Q15" s="64">
        <v>1</v>
      </c>
      <c r="R15" s="76">
        <v>2.664096270928463</v>
      </c>
      <c r="S15" s="76">
        <v>2.664096270928463</v>
      </c>
      <c r="T15" s="66">
        <v>2.7990971236458719</v>
      </c>
      <c r="U15" s="67">
        <f t="shared" si="0"/>
        <v>2.7315966972871673</v>
      </c>
      <c r="V15" s="66">
        <v>2.751390134529148</v>
      </c>
    </row>
    <row r="16" spans="1:22">
      <c r="A16" s="32" t="s">
        <v>56</v>
      </c>
      <c r="B16" s="35" t="s">
        <v>57</v>
      </c>
      <c r="C16" s="35" t="s">
        <v>21</v>
      </c>
      <c r="D16" s="35">
        <v>52</v>
      </c>
      <c r="E16" s="35">
        <v>4000</v>
      </c>
      <c r="F16" s="35">
        <v>22</v>
      </c>
      <c r="G16" s="35">
        <v>3</v>
      </c>
      <c r="H16" s="32" t="s">
        <v>194</v>
      </c>
      <c r="I16" s="32">
        <v>3</v>
      </c>
      <c r="J16" s="32">
        <v>3</v>
      </c>
      <c r="K16" s="32" t="s">
        <v>276</v>
      </c>
      <c r="L16" s="32" t="s">
        <v>155</v>
      </c>
      <c r="M16" s="42" t="s">
        <v>267</v>
      </c>
      <c r="N16" s="35">
        <v>4.8999999999999998E-3</v>
      </c>
      <c r="O16" s="51">
        <v>3.6449999999999818</v>
      </c>
      <c r="P16" s="51">
        <v>3.6449999999999818</v>
      </c>
      <c r="Q16" s="64">
        <v>1</v>
      </c>
      <c r="R16" s="76">
        <v>2.687903334582241</v>
      </c>
      <c r="S16" s="76">
        <v>2.687903334582241</v>
      </c>
      <c r="T16" s="66">
        <v>2.792484938638899</v>
      </c>
      <c r="U16" s="67">
        <f t="shared" si="0"/>
        <v>2.7401941366105698</v>
      </c>
      <c r="V16" s="66">
        <v>2.7567361015785861</v>
      </c>
    </row>
    <row r="17" spans="1:22">
      <c r="A17" s="32" t="s">
        <v>56</v>
      </c>
      <c r="B17" s="35" t="s">
        <v>57</v>
      </c>
      <c r="C17" s="35" t="s">
        <v>21</v>
      </c>
      <c r="D17" s="35">
        <v>52</v>
      </c>
      <c r="E17" s="35">
        <v>4000</v>
      </c>
      <c r="F17" s="35">
        <v>22</v>
      </c>
      <c r="G17" s="35">
        <v>3</v>
      </c>
      <c r="H17" s="32" t="s">
        <v>194</v>
      </c>
      <c r="I17" s="32">
        <v>4</v>
      </c>
      <c r="K17" s="32" t="s">
        <v>275</v>
      </c>
      <c r="L17" s="32" t="s">
        <v>156</v>
      </c>
      <c r="M17" s="42" t="s">
        <v>267</v>
      </c>
      <c r="N17" s="35">
        <v>0</v>
      </c>
      <c r="O17" s="51"/>
      <c r="P17" s="51"/>
      <c r="Q17" s="64"/>
      <c r="R17" s="76">
        <v>2.6082570449352631</v>
      </c>
      <c r="S17" s="76">
        <v>2.6082570449352631</v>
      </c>
      <c r="T17" s="66">
        <v>2.7454502772643248</v>
      </c>
      <c r="U17" s="67">
        <f t="shared" si="0"/>
        <v>2.6768536610997939</v>
      </c>
      <c r="V17" s="66">
        <v>2.688130677847659</v>
      </c>
    </row>
    <row r="18" spans="1:22">
      <c r="A18" s="32" t="s">
        <v>56</v>
      </c>
      <c r="B18" s="35" t="s">
        <v>57</v>
      </c>
      <c r="C18" s="35" t="s">
        <v>21</v>
      </c>
      <c r="D18" s="35">
        <v>52</v>
      </c>
      <c r="E18" s="35">
        <v>4000</v>
      </c>
      <c r="F18" s="35">
        <v>22</v>
      </c>
      <c r="G18" s="35">
        <v>3</v>
      </c>
      <c r="H18" s="32" t="s">
        <v>194</v>
      </c>
      <c r="I18" s="32">
        <v>5</v>
      </c>
      <c r="J18" s="32">
        <v>4</v>
      </c>
      <c r="K18" s="32" t="s">
        <v>276</v>
      </c>
      <c r="L18" s="32" t="s">
        <v>157</v>
      </c>
      <c r="M18" s="42" t="s">
        <v>267</v>
      </c>
      <c r="N18" s="35">
        <v>4.0000000000000002E-4</v>
      </c>
      <c r="O18" s="51">
        <v>4.8520000000000891</v>
      </c>
      <c r="P18" s="51">
        <v>4.8520000000000891</v>
      </c>
      <c r="Q18" s="64">
        <v>1</v>
      </c>
      <c r="R18" s="76">
        <v>2.7641156202143948</v>
      </c>
      <c r="S18" s="76">
        <v>2.7641156202143948</v>
      </c>
      <c r="T18" s="66">
        <v>2.8687757506651459</v>
      </c>
      <c r="U18" s="67">
        <f t="shared" si="0"/>
        <v>2.8164456854397706</v>
      </c>
      <c r="V18" s="66">
        <v>2.8326799999999999</v>
      </c>
    </row>
    <row r="19" spans="1:22">
      <c r="A19" s="32" t="s">
        <v>56</v>
      </c>
      <c r="B19" s="35" t="s">
        <v>57</v>
      </c>
      <c r="C19" s="35" t="s">
        <v>21</v>
      </c>
      <c r="D19" s="35">
        <v>52</v>
      </c>
      <c r="E19" s="35">
        <v>4000</v>
      </c>
      <c r="F19" s="35">
        <v>22</v>
      </c>
      <c r="G19" s="35">
        <v>3</v>
      </c>
      <c r="H19" s="32" t="s">
        <v>194</v>
      </c>
      <c r="I19" s="32">
        <v>6</v>
      </c>
      <c r="J19" s="32">
        <v>5</v>
      </c>
      <c r="K19" s="32" t="s">
        <v>275</v>
      </c>
      <c r="L19" s="32" t="s">
        <v>158</v>
      </c>
      <c r="M19" s="42" t="s">
        <v>267</v>
      </c>
      <c r="N19" s="35">
        <v>0</v>
      </c>
      <c r="O19" s="51">
        <v>2.2609999999999673</v>
      </c>
      <c r="P19" s="51">
        <v>2.2609999999999673</v>
      </c>
      <c r="Q19" s="64">
        <v>1</v>
      </c>
      <c r="R19" s="76">
        <v>2.7253144071069908</v>
      </c>
      <c r="S19" s="76">
        <v>2.7253144071069908</v>
      </c>
      <c r="T19" s="66">
        <v>2.865321964017991</v>
      </c>
      <c r="U19" s="67">
        <f t="shared" si="0"/>
        <v>2.7953181855624907</v>
      </c>
      <c r="V19" s="66">
        <v>2.8063647058823529</v>
      </c>
    </row>
    <row r="20" spans="1:22">
      <c r="A20" s="33" t="s">
        <v>85</v>
      </c>
      <c r="B20" s="37" t="s">
        <v>57</v>
      </c>
      <c r="C20" s="37" t="s">
        <v>22</v>
      </c>
      <c r="D20" s="35">
        <v>47</v>
      </c>
      <c r="E20" s="35">
        <v>6000</v>
      </c>
      <c r="F20" s="35">
        <v>16</v>
      </c>
      <c r="G20" s="37">
        <v>1</v>
      </c>
      <c r="H20" s="33" t="s">
        <v>197</v>
      </c>
      <c r="I20" s="33">
        <v>1</v>
      </c>
      <c r="J20" s="33">
        <v>1</v>
      </c>
      <c r="K20" s="33" t="s">
        <v>275</v>
      </c>
      <c r="L20" s="33" t="s">
        <v>154</v>
      </c>
      <c r="M20" s="43" t="s">
        <v>288</v>
      </c>
      <c r="N20" s="35">
        <v>0</v>
      </c>
      <c r="O20" s="51">
        <v>3.5589999999999691</v>
      </c>
      <c r="P20" s="51">
        <v>3.5589999999999691</v>
      </c>
      <c r="Q20" s="64">
        <v>1</v>
      </c>
      <c r="R20" s="76">
        <v>3.2538999613750481</v>
      </c>
      <c r="S20" s="76">
        <v>3.2538999613750481</v>
      </c>
      <c r="T20" s="66">
        <v>3.1370877876106191</v>
      </c>
      <c r="U20" s="67">
        <f t="shared" si="0"/>
        <v>3.1954938744928336</v>
      </c>
      <c r="V20" s="66">
        <v>3.2039048425330172</v>
      </c>
    </row>
    <row r="21" spans="1:22">
      <c r="A21" s="33" t="s">
        <v>85</v>
      </c>
      <c r="B21" s="37" t="s">
        <v>57</v>
      </c>
      <c r="C21" s="37" t="s">
        <v>22</v>
      </c>
      <c r="D21" s="35">
        <v>47</v>
      </c>
      <c r="E21" s="35">
        <v>6000</v>
      </c>
      <c r="F21" s="35">
        <v>16</v>
      </c>
      <c r="G21" s="37">
        <v>1</v>
      </c>
      <c r="H21" s="33" t="s">
        <v>197</v>
      </c>
      <c r="I21" s="33">
        <v>2</v>
      </c>
      <c r="J21" s="33">
        <v>2</v>
      </c>
      <c r="K21" s="33" t="s">
        <v>276</v>
      </c>
      <c r="L21" s="33" t="s">
        <v>155</v>
      </c>
      <c r="M21" s="43" t="s">
        <v>288</v>
      </c>
      <c r="N21" s="35">
        <v>0</v>
      </c>
      <c r="O21" s="51">
        <v>0.3970000000000482</v>
      </c>
      <c r="P21" s="51">
        <v>0.3970000000000482</v>
      </c>
      <c r="Q21" s="64">
        <v>1</v>
      </c>
      <c r="R21" s="76">
        <v>3.111093135287033</v>
      </c>
      <c r="S21" s="76">
        <v>3.111093135287033</v>
      </c>
      <c r="T21" s="66">
        <v>3.035973281083006</v>
      </c>
      <c r="U21" s="67">
        <f t="shared" si="0"/>
        <v>3.0735332081850197</v>
      </c>
      <c r="V21" s="66">
        <v>3.0793619924940292</v>
      </c>
    </row>
    <row r="22" spans="1:22">
      <c r="A22" s="33" t="s">
        <v>85</v>
      </c>
      <c r="B22" s="37" t="s">
        <v>57</v>
      </c>
      <c r="C22" s="37" t="s">
        <v>22</v>
      </c>
      <c r="D22" s="35">
        <v>47</v>
      </c>
      <c r="E22" s="35">
        <v>6000</v>
      </c>
      <c r="F22" s="35">
        <v>16</v>
      </c>
      <c r="G22" s="37">
        <v>1</v>
      </c>
      <c r="H22" s="33" t="s">
        <v>197</v>
      </c>
      <c r="I22" s="33">
        <v>3</v>
      </c>
      <c r="J22" s="33">
        <v>3</v>
      </c>
      <c r="K22" s="33" t="s">
        <v>275</v>
      </c>
      <c r="L22" s="33" t="s">
        <v>158</v>
      </c>
      <c r="M22" s="43" t="s">
        <v>288</v>
      </c>
      <c r="N22" s="35">
        <v>0</v>
      </c>
      <c r="O22" s="51">
        <v>2.4390000000000782</v>
      </c>
      <c r="P22" s="51">
        <v>2.4390000000000782</v>
      </c>
      <c r="Q22" s="64">
        <v>1</v>
      </c>
      <c r="R22" s="76">
        <v>3.152840291076215</v>
      </c>
      <c r="S22" s="76">
        <v>3.152840291076215</v>
      </c>
      <c r="T22" s="66">
        <v>3.0423455442057059</v>
      </c>
      <c r="U22" s="67">
        <f t="shared" si="0"/>
        <v>3.0975929176409602</v>
      </c>
      <c r="V22" s="66">
        <v>3.1023896504455108</v>
      </c>
    </row>
    <row r="23" spans="1:22">
      <c r="A23" s="33" t="s">
        <v>85</v>
      </c>
      <c r="B23" s="37" t="s">
        <v>57</v>
      </c>
      <c r="C23" s="37" t="s">
        <v>22</v>
      </c>
      <c r="D23" s="35">
        <v>47</v>
      </c>
      <c r="E23" s="35">
        <v>6000</v>
      </c>
      <c r="F23" s="35">
        <v>16</v>
      </c>
      <c r="G23" s="37">
        <v>1</v>
      </c>
      <c r="H23" s="33" t="s">
        <v>197</v>
      </c>
      <c r="I23" s="33">
        <v>4</v>
      </c>
      <c r="J23" s="33">
        <v>4</v>
      </c>
      <c r="K23" s="33" t="s">
        <v>276</v>
      </c>
      <c r="L23" s="33" t="s">
        <v>157</v>
      </c>
      <c r="M23" s="43" t="s">
        <v>288</v>
      </c>
      <c r="N23" s="35">
        <v>0</v>
      </c>
      <c r="O23" s="51">
        <v>1.3539999999999281</v>
      </c>
      <c r="P23" s="51">
        <v>1.3539999999999281</v>
      </c>
      <c r="Q23" s="64">
        <v>1</v>
      </c>
      <c r="R23" s="76">
        <v>2.9838738636363629</v>
      </c>
      <c r="S23" s="76">
        <v>2.9838738636363629</v>
      </c>
      <c r="T23" s="66">
        <v>2.8984509235784128</v>
      </c>
      <c r="U23" s="67">
        <f t="shared" si="0"/>
        <v>2.9411623936073878</v>
      </c>
      <c r="V23" s="66">
        <v>2.9520323843416372</v>
      </c>
    </row>
    <row r="24" spans="1:22">
      <c r="A24" s="33" t="s">
        <v>85</v>
      </c>
      <c r="B24" s="37" t="s">
        <v>57</v>
      </c>
      <c r="C24" s="37" t="s">
        <v>22</v>
      </c>
      <c r="D24" s="35">
        <v>47</v>
      </c>
      <c r="E24" s="35">
        <v>6000</v>
      </c>
      <c r="F24" s="35">
        <v>16</v>
      </c>
      <c r="G24" s="37">
        <v>1</v>
      </c>
      <c r="H24" s="33" t="s">
        <v>197</v>
      </c>
      <c r="I24" s="33">
        <v>5</v>
      </c>
      <c r="J24" s="33"/>
      <c r="K24" s="33" t="s">
        <v>276</v>
      </c>
      <c r="L24" s="33" t="s">
        <v>156</v>
      </c>
      <c r="M24" s="43" t="s">
        <v>288</v>
      </c>
      <c r="N24" s="35">
        <v>4.1000000000000003E-3</v>
      </c>
      <c r="O24" s="51"/>
      <c r="P24" s="51"/>
      <c r="Q24" s="64"/>
      <c r="R24" s="76">
        <v>2.9447290969899669</v>
      </c>
      <c r="S24" s="76">
        <v>2.9447290969899669</v>
      </c>
      <c r="T24" s="66">
        <v>2.8650344209394052</v>
      </c>
      <c r="U24" s="67">
        <f t="shared" si="0"/>
        <v>2.9048817589646863</v>
      </c>
      <c r="V24" s="66">
        <v>2.915277738515901</v>
      </c>
    </row>
    <row r="25" spans="1:22">
      <c r="A25" s="33" t="s">
        <v>85</v>
      </c>
      <c r="B25" s="37" t="s">
        <v>57</v>
      </c>
      <c r="C25" s="37" t="s">
        <v>22</v>
      </c>
      <c r="D25" s="35">
        <v>47</v>
      </c>
      <c r="E25" s="35">
        <v>6000</v>
      </c>
      <c r="F25" s="35">
        <v>16</v>
      </c>
      <c r="G25" s="37">
        <v>1</v>
      </c>
      <c r="H25" s="33" t="s">
        <v>197</v>
      </c>
      <c r="I25" s="33">
        <v>6</v>
      </c>
      <c r="J25" s="33">
        <v>5</v>
      </c>
      <c r="K25" s="33" t="s">
        <v>275</v>
      </c>
      <c r="L25" s="33" t="s">
        <v>153</v>
      </c>
      <c r="M25" s="43" t="s">
        <v>288</v>
      </c>
      <c r="N25" s="35">
        <v>0</v>
      </c>
      <c r="O25" s="51">
        <v>8.9400000000000546</v>
      </c>
      <c r="P25" s="51">
        <v>8.9400000000000546</v>
      </c>
      <c r="Q25" s="64">
        <v>1</v>
      </c>
      <c r="R25" s="76">
        <v>2.8843776355421689</v>
      </c>
      <c r="S25" s="76">
        <v>2.8843776355421689</v>
      </c>
      <c r="T25" s="66">
        <v>2.8376126914660831</v>
      </c>
      <c r="U25" s="67">
        <f t="shared" si="0"/>
        <v>2.8609951635041257</v>
      </c>
      <c r="V25" s="66">
        <v>2.876445483987045</v>
      </c>
    </row>
    <row r="26" spans="1:22">
      <c r="A26" s="33" t="s">
        <v>85</v>
      </c>
      <c r="B26" s="37" t="s">
        <v>57</v>
      </c>
      <c r="C26" s="37" t="s">
        <v>21</v>
      </c>
      <c r="D26" s="35">
        <v>47</v>
      </c>
      <c r="E26" s="35">
        <v>6000</v>
      </c>
      <c r="F26" s="35">
        <v>16</v>
      </c>
      <c r="G26" s="37">
        <v>2</v>
      </c>
      <c r="H26" s="33" t="s">
        <v>199</v>
      </c>
      <c r="I26" s="33">
        <v>1</v>
      </c>
      <c r="J26" s="33"/>
      <c r="K26" s="33" t="s">
        <v>276</v>
      </c>
      <c r="L26" s="33" t="s">
        <v>156</v>
      </c>
      <c r="M26" s="43" t="s">
        <v>289</v>
      </c>
      <c r="N26" s="35">
        <v>4.0000000000000002E-4</v>
      </c>
      <c r="O26" s="51"/>
      <c r="P26" s="51"/>
      <c r="Q26" s="64"/>
      <c r="R26" s="76">
        <v>3.2761258741258739</v>
      </c>
      <c r="S26" s="76">
        <v>3.2761258741258739</v>
      </c>
      <c r="T26" s="66">
        <v>3.1077139705882351</v>
      </c>
      <c r="U26" s="67">
        <f t="shared" si="0"/>
        <v>3.1919199223570542</v>
      </c>
      <c r="V26" s="66">
        <v>3.2041521035598701</v>
      </c>
    </row>
    <row r="27" spans="1:22">
      <c r="A27" s="33" t="s">
        <v>85</v>
      </c>
      <c r="B27" s="37" t="s">
        <v>57</v>
      </c>
      <c r="C27" s="37" t="s">
        <v>21</v>
      </c>
      <c r="D27" s="35">
        <v>47</v>
      </c>
      <c r="E27" s="35">
        <v>6000</v>
      </c>
      <c r="F27" s="35">
        <v>16</v>
      </c>
      <c r="G27" s="37">
        <v>2</v>
      </c>
      <c r="H27" s="33" t="s">
        <v>199</v>
      </c>
      <c r="I27" s="33">
        <v>2</v>
      </c>
      <c r="J27" s="33">
        <v>1</v>
      </c>
      <c r="K27" s="33" t="s">
        <v>275</v>
      </c>
      <c r="L27" s="33" t="s">
        <v>157</v>
      </c>
      <c r="M27" s="43" t="s">
        <v>289</v>
      </c>
      <c r="N27" s="35">
        <v>4.0000000000000002E-4</v>
      </c>
      <c r="O27" s="51">
        <v>6.7100000000000364</v>
      </c>
      <c r="P27" s="51">
        <v>6.7100000000000364</v>
      </c>
      <c r="Q27" s="64">
        <v>1</v>
      </c>
      <c r="R27" s="76">
        <v>3.0482140969163001</v>
      </c>
      <c r="S27" s="76">
        <v>3.0482140969163001</v>
      </c>
      <c r="T27" s="66">
        <v>2.9272581120943948</v>
      </c>
      <c r="U27" s="67">
        <f t="shared" si="0"/>
        <v>2.9877361045053474</v>
      </c>
      <c r="V27" s="66">
        <v>2.991889537003281</v>
      </c>
    </row>
    <row r="28" spans="1:22">
      <c r="A28" s="33" t="s">
        <v>85</v>
      </c>
      <c r="B28" s="37" t="s">
        <v>57</v>
      </c>
      <c r="C28" s="37" t="s">
        <v>21</v>
      </c>
      <c r="D28" s="35">
        <v>47</v>
      </c>
      <c r="E28" s="35">
        <v>6000</v>
      </c>
      <c r="F28" s="35">
        <v>16</v>
      </c>
      <c r="G28" s="37">
        <v>2</v>
      </c>
      <c r="H28" s="33" t="s">
        <v>199</v>
      </c>
      <c r="I28" s="33">
        <v>3</v>
      </c>
      <c r="J28" s="33">
        <v>2</v>
      </c>
      <c r="K28" s="33" t="s">
        <v>276</v>
      </c>
      <c r="L28" s="33" t="s">
        <v>153</v>
      </c>
      <c r="M28" s="43" t="s">
        <v>219</v>
      </c>
      <c r="N28" s="35">
        <v>0</v>
      </c>
      <c r="O28" s="51">
        <v>4.2099999999999227</v>
      </c>
      <c r="P28" s="51">
        <v>4.2099999999999227</v>
      </c>
      <c r="Q28" s="64">
        <v>1</v>
      </c>
      <c r="R28" s="76">
        <v>2.915213385826771</v>
      </c>
      <c r="S28" s="76">
        <v>2.915213385826771</v>
      </c>
      <c r="T28" s="66">
        <v>2.8213362255965291</v>
      </c>
      <c r="U28" s="67">
        <f t="shared" si="0"/>
        <v>2.8682748057116498</v>
      </c>
      <c r="V28" s="66">
        <v>2.8693714694315342</v>
      </c>
    </row>
    <row r="29" spans="1:22">
      <c r="A29" s="33" t="s">
        <v>85</v>
      </c>
      <c r="B29" s="37" t="s">
        <v>57</v>
      </c>
      <c r="C29" s="37" t="s">
        <v>21</v>
      </c>
      <c r="D29" s="35">
        <v>47</v>
      </c>
      <c r="E29" s="35">
        <v>6000</v>
      </c>
      <c r="F29" s="35">
        <v>16</v>
      </c>
      <c r="G29" s="37">
        <v>2</v>
      </c>
      <c r="H29" s="33" t="s">
        <v>199</v>
      </c>
      <c r="I29" s="33">
        <v>4</v>
      </c>
      <c r="J29" s="33">
        <v>3</v>
      </c>
      <c r="K29" s="33" t="s">
        <v>276</v>
      </c>
      <c r="L29" s="33" t="s">
        <v>158</v>
      </c>
      <c r="M29" s="43" t="s">
        <v>219</v>
      </c>
      <c r="N29" s="35">
        <v>4.0000000000000002E-4</v>
      </c>
      <c r="O29" s="51">
        <v>0.99000000000000909</v>
      </c>
      <c r="P29" s="51">
        <v>0.99000000000000909</v>
      </c>
      <c r="Q29" s="64">
        <v>1</v>
      </c>
      <c r="R29" s="76">
        <v>3.0205923497267761</v>
      </c>
      <c r="S29" s="76">
        <v>3.0205923497267761</v>
      </c>
      <c r="T29" s="66">
        <v>2.8882693409742122</v>
      </c>
      <c r="U29" s="67">
        <f t="shared" si="0"/>
        <v>2.9544308453504939</v>
      </c>
      <c r="V29" s="66">
        <v>2.9750091132141612</v>
      </c>
    </row>
    <row r="30" spans="1:22">
      <c r="A30" s="33" t="s">
        <v>85</v>
      </c>
      <c r="B30" s="37" t="s">
        <v>57</v>
      </c>
      <c r="C30" s="37" t="s">
        <v>21</v>
      </c>
      <c r="D30" s="35">
        <v>47</v>
      </c>
      <c r="E30" s="35">
        <v>6000</v>
      </c>
      <c r="F30" s="35">
        <v>16</v>
      </c>
      <c r="G30" s="37">
        <v>2</v>
      </c>
      <c r="H30" s="33" t="s">
        <v>199</v>
      </c>
      <c r="I30" s="33">
        <v>5</v>
      </c>
      <c r="J30" s="33">
        <v>4</v>
      </c>
      <c r="K30" s="33" t="s">
        <v>275</v>
      </c>
      <c r="L30" s="33" t="s">
        <v>155</v>
      </c>
      <c r="M30" s="43" t="s">
        <v>219</v>
      </c>
      <c r="N30" s="35">
        <v>0</v>
      </c>
      <c r="O30" s="51">
        <v>0.59999999999990905</v>
      </c>
      <c r="P30" s="51">
        <v>0.59999999999990905</v>
      </c>
      <c r="Q30" s="64">
        <v>1</v>
      </c>
      <c r="R30" s="76">
        <v>2.9913347826086949</v>
      </c>
      <c r="S30" s="76">
        <v>2.9913347826086949</v>
      </c>
      <c r="T30" s="66">
        <v>2.8953359402772838</v>
      </c>
      <c r="U30" s="67">
        <f t="shared" si="0"/>
        <v>2.9433353614429896</v>
      </c>
      <c r="V30" s="66">
        <v>2.9618238359972202</v>
      </c>
    </row>
    <row r="31" spans="1:22">
      <c r="A31" s="33" t="s">
        <v>85</v>
      </c>
      <c r="B31" s="37" t="s">
        <v>57</v>
      </c>
      <c r="C31" s="37" t="s">
        <v>21</v>
      </c>
      <c r="D31" s="35">
        <v>47</v>
      </c>
      <c r="E31" s="35">
        <v>6000</v>
      </c>
      <c r="F31" s="35">
        <v>16</v>
      </c>
      <c r="G31" s="37">
        <v>2</v>
      </c>
      <c r="H31" s="33" t="s">
        <v>199</v>
      </c>
      <c r="I31" s="33">
        <v>6</v>
      </c>
      <c r="J31" s="33">
        <v>5</v>
      </c>
      <c r="K31" s="33" t="s">
        <v>275</v>
      </c>
      <c r="L31" s="33" t="s">
        <v>154</v>
      </c>
      <c r="M31" s="43" t="s">
        <v>219</v>
      </c>
      <c r="N31" s="35">
        <v>8.6999999999999994E-3</v>
      </c>
      <c r="O31" s="51">
        <v>4.9399999999998272</v>
      </c>
      <c r="P31" s="51">
        <v>4.9399999999998272</v>
      </c>
      <c r="Q31" s="64">
        <v>1</v>
      </c>
      <c r="R31" s="76">
        <v>2.851880862329804</v>
      </c>
      <c r="S31" s="76">
        <v>2.851880862329804</v>
      </c>
      <c r="T31" s="66">
        <v>2.803843647015746</v>
      </c>
      <c r="U31" s="67">
        <f t="shared" si="0"/>
        <v>2.827862254672775</v>
      </c>
      <c r="V31" s="66">
        <v>2.848587536023055</v>
      </c>
    </row>
    <row r="32" spans="1:22">
      <c r="A32" s="33" t="s">
        <v>85</v>
      </c>
      <c r="B32" s="37" t="s">
        <v>57</v>
      </c>
      <c r="C32" s="37" t="s">
        <v>14</v>
      </c>
      <c r="D32" s="35">
        <v>47</v>
      </c>
      <c r="E32" s="35">
        <v>6000</v>
      </c>
      <c r="F32" s="35">
        <v>16</v>
      </c>
      <c r="G32" s="37">
        <v>3</v>
      </c>
      <c r="H32" s="33" t="s">
        <v>194</v>
      </c>
      <c r="I32" s="33">
        <v>1</v>
      </c>
      <c r="J32" s="33">
        <v>1</v>
      </c>
      <c r="K32" s="33" t="s">
        <v>275</v>
      </c>
      <c r="L32" s="33" t="s">
        <v>153</v>
      </c>
      <c r="M32" s="43" t="s">
        <v>290</v>
      </c>
      <c r="N32" s="35">
        <v>0</v>
      </c>
      <c r="O32" s="51">
        <v>6.0919999999999845</v>
      </c>
      <c r="P32" s="51">
        <v>6.0919999999999845</v>
      </c>
      <c r="Q32" s="64">
        <v>1</v>
      </c>
      <c r="R32" s="76">
        <v>3.1268867469879522</v>
      </c>
      <c r="S32" s="76">
        <v>3.1268867469879522</v>
      </c>
      <c r="T32" s="66">
        <v>3.0318582618425962</v>
      </c>
      <c r="U32" s="67">
        <f t="shared" si="0"/>
        <v>3.0793725044152742</v>
      </c>
      <c r="V32" s="66">
        <v>3.091906542056075</v>
      </c>
    </row>
    <row r="33" spans="1:22">
      <c r="A33" s="33" t="s">
        <v>85</v>
      </c>
      <c r="B33" s="37" t="s">
        <v>57</v>
      </c>
      <c r="C33" s="37" t="s">
        <v>14</v>
      </c>
      <c r="D33" s="35">
        <v>47</v>
      </c>
      <c r="E33" s="35">
        <v>6000</v>
      </c>
      <c r="F33" s="35">
        <v>16</v>
      </c>
      <c r="G33" s="37">
        <v>3</v>
      </c>
      <c r="H33" s="33" t="s">
        <v>194</v>
      </c>
      <c r="I33" s="33">
        <v>2</v>
      </c>
      <c r="J33" s="33">
        <v>2</v>
      </c>
      <c r="K33" s="33" t="s">
        <v>276</v>
      </c>
      <c r="L33" s="33" t="s">
        <v>154</v>
      </c>
      <c r="M33" s="43" t="s">
        <v>290</v>
      </c>
      <c r="N33" s="35">
        <v>0.13550000000000001</v>
      </c>
      <c r="O33" s="51">
        <v>2.1409999999999627</v>
      </c>
      <c r="P33" s="51">
        <v>2.1409999999999627</v>
      </c>
      <c r="Q33" s="64">
        <v>1</v>
      </c>
      <c r="R33" s="76">
        <v>3.0172135807343068</v>
      </c>
      <c r="S33" s="76">
        <v>3.0172135807343068</v>
      </c>
      <c r="T33" s="66">
        <v>2.9522334337349401</v>
      </c>
      <c r="U33" s="67">
        <f t="shared" si="0"/>
        <v>2.9847235072346234</v>
      </c>
      <c r="V33" s="66">
        <v>3.0096166975881262</v>
      </c>
    </row>
    <row r="34" spans="1:22">
      <c r="A34" s="33" t="s">
        <v>85</v>
      </c>
      <c r="B34" s="37" t="s">
        <v>57</v>
      </c>
      <c r="C34" s="37" t="s">
        <v>14</v>
      </c>
      <c r="D34" s="35">
        <v>47</v>
      </c>
      <c r="E34" s="35">
        <v>6000</v>
      </c>
      <c r="F34" s="35">
        <v>16</v>
      </c>
      <c r="G34" s="37">
        <v>3</v>
      </c>
      <c r="H34" s="33" t="s">
        <v>194</v>
      </c>
      <c r="I34" s="33">
        <v>3</v>
      </c>
      <c r="J34" s="33">
        <v>3</v>
      </c>
      <c r="K34" s="33" t="s">
        <v>276</v>
      </c>
      <c r="L34" s="33" t="s">
        <v>155</v>
      </c>
      <c r="M34" s="43" t="s">
        <v>202</v>
      </c>
      <c r="N34" s="35">
        <v>0</v>
      </c>
      <c r="O34" s="51">
        <v>1.6209999999999809</v>
      </c>
      <c r="P34" s="51">
        <v>1.6209999999999809</v>
      </c>
      <c r="Q34" s="64">
        <v>1</v>
      </c>
      <c r="R34" s="76">
        <v>2.940193488716242</v>
      </c>
      <c r="S34" s="76">
        <v>2.940193488716242</v>
      </c>
      <c r="T34" s="66">
        <v>2.8831232876712329</v>
      </c>
      <c r="U34" s="67">
        <f t="shared" si="0"/>
        <v>2.9116583881937377</v>
      </c>
      <c r="V34" s="66">
        <v>2.9156585537918871</v>
      </c>
    </row>
    <row r="35" spans="1:22">
      <c r="A35" s="33" t="s">
        <v>85</v>
      </c>
      <c r="B35" s="37" t="s">
        <v>57</v>
      </c>
      <c r="C35" s="37" t="s">
        <v>14</v>
      </c>
      <c r="D35" s="35">
        <v>47</v>
      </c>
      <c r="E35" s="35">
        <v>6000</v>
      </c>
      <c r="F35" s="35">
        <v>16</v>
      </c>
      <c r="G35" s="37">
        <v>3</v>
      </c>
      <c r="H35" s="33" t="s">
        <v>194</v>
      </c>
      <c r="I35" s="33">
        <v>4</v>
      </c>
      <c r="J35" s="33"/>
      <c r="K35" s="33" t="s">
        <v>275</v>
      </c>
      <c r="L35" s="33" t="s">
        <v>156</v>
      </c>
      <c r="M35" s="43" t="s">
        <v>202</v>
      </c>
      <c r="N35" s="35">
        <v>0</v>
      </c>
      <c r="O35" s="51"/>
      <c r="P35" s="51"/>
      <c r="Q35" s="64"/>
      <c r="R35" s="76">
        <v>2.8888921822897369</v>
      </c>
      <c r="S35" s="76">
        <v>2.8888921822897369</v>
      </c>
      <c r="T35" s="66">
        <v>2.8470029250457038</v>
      </c>
      <c r="U35" s="67">
        <f t="shared" si="0"/>
        <v>2.8679475536677206</v>
      </c>
      <c r="V35" s="66">
        <v>2.8767427431059511</v>
      </c>
    </row>
    <row r="36" spans="1:22">
      <c r="A36" s="33" t="s">
        <v>85</v>
      </c>
      <c r="B36" s="37" t="s">
        <v>57</v>
      </c>
      <c r="C36" s="37" t="s">
        <v>14</v>
      </c>
      <c r="D36" s="35">
        <v>47</v>
      </c>
      <c r="E36" s="35">
        <v>6000</v>
      </c>
      <c r="F36" s="35">
        <v>16</v>
      </c>
      <c r="G36" s="37">
        <v>3</v>
      </c>
      <c r="H36" s="33" t="s">
        <v>194</v>
      </c>
      <c r="I36" s="33">
        <v>5</v>
      </c>
      <c r="J36" s="33">
        <v>4</v>
      </c>
      <c r="K36" s="33" t="s">
        <v>276</v>
      </c>
      <c r="L36" s="33" t="s">
        <v>157</v>
      </c>
      <c r="M36" s="43" t="s">
        <v>202</v>
      </c>
      <c r="N36" s="35">
        <v>0</v>
      </c>
      <c r="O36" s="51">
        <v>4.1809999999998126</v>
      </c>
      <c r="P36" s="51">
        <v>4.1809999999998126</v>
      </c>
      <c r="Q36" s="64">
        <v>1</v>
      </c>
      <c r="R36" s="76">
        <v>3.0089122742351639</v>
      </c>
      <c r="S36" s="76">
        <v>3.0089122742351639</v>
      </c>
      <c r="T36" s="66">
        <v>2.8953354059985368</v>
      </c>
      <c r="U36" s="67">
        <f t="shared" si="0"/>
        <v>2.9521238401168501</v>
      </c>
      <c r="V36" s="66">
        <v>2.9615246077032809</v>
      </c>
    </row>
    <row r="37" spans="1:22">
      <c r="A37" s="33" t="s">
        <v>85</v>
      </c>
      <c r="B37" s="37" t="s">
        <v>57</v>
      </c>
      <c r="C37" s="37" t="s">
        <v>14</v>
      </c>
      <c r="D37" s="35">
        <v>47</v>
      </c>
      <c r="E37" s="35">
        <v>6000</v>
      </c>
      <c r="F37" s="35">
        <v>16</v>
      </c>
      <c r="G37" s="37">
        <v>3</v>
      </c>
      <c r="H37" s="33" t="s">
        <v>194</v>
      </c>
      <c r="I37" s="33">
        <v>6</v>
      </c>
      <c r="J37" s="33">
        <v>5</v>
      </c>
      <c r="K37" s="33" t="s">
        <v>275</v>
      </c>
      <c r="L37" s="33" t="s">
        <v>158</v>
      </c>
      <c r="M37" s="43" t="s">
        <v>202</v>
      </c>
      <c r="N37" s="35">
        <v>1.5E-3</v>
      </c>
      <c r="O37" s="51">
        <v>1.4079999999999018</v>
      </c>
      <c r="P37" s="51">
        <v>1.4079999999999018</v>
      </c>
      <c r="Q37" s="64">
        <v>1</v>
      </c>
      <c r="R37" s="76">
        <v>3.0460905989385898</v>
      </c>
      <c r="S37" s="76">
        <v>3.0460905989385898</v>
      </c>
      <c r="T37" s="66">
        <v>2.9436085169966382</v>
      </c>
      <c r="U37" s="67">
        <f t="shared" si="0"/>
        <v>2.9948495579676138</v>
      </c>
      <c r="V37" s="66">
        <v>3.006961594202898</v>
      </c>
    </row>
    <row r="38" spans="1:22">
      <c r="A38" s="32" t="s">
        <v>86</v>
      </c>
      <c r="B38" s="35" t="s">
        <v>82</v>
      </c>
      <c r="C38" s="35" t="s">
        <v>21</v>
      </c>
      <c r="D38" s="35">
        <v>40</v>
      </c>
      <c r="E38" s="35">
        <v>18000</v>
      </c>
      <c r="F38" s="35">
        <v>23</v>
      </c>
      <c r="G38" s="35">
        <v>1</v>
      </c>
      <c r="H38" s="32" t="s">
        <v>197</v>
      </c>
      <c r="I38" s="32">
        <v>1</v>
      </c>
      <c r="J38" s="32">
        <v>1</v>
      </c>
      <c r="K38" s="32" t="s">
        <v>275</v>
      </c>
      <c r="L38" s="32" t="s">
        <v>154</v>
      </c>
      <c r="M38" s="42" t="s">
        <v>285</v>
      </c>
      <c r="N38" s="35">
        <v>0</v>
      </c>
      <c r="O38" s="51" t="s">
        <v>395</v>
      </c>
      <c r="P38" s="51"/>
      <c r="Q38" s="64">
        <v>0</v>
      </c>
      <c r="R38" s="76">
        <v>2.8520492957746479</v>
      </c>
      <c r="S38" s="76">
        <v>2.8520492957746479</v>
      </c>
      <c r="T38" s="66">
        <v>2.9267033175355448</v>
      </c>
      <c r="U38" s="67">
        <f t="shared" si="0"/>
        <v>2.8893763066550964</v>
      </c>
      <c r="V38" s="66">
        <v>2.8903781228899388</v>
      </c>
    </row>
    <row r="39" spans="1:22">
      <c r="A39" s="32" t="s">
        <v>86</v>
      </c>
      <c r="B39" s="35" t="s">
        <v>82</v>
      </c>
      <c r="C39" s="35" t="s">
        <v>21</v>
      </c>
      <c r="D39" s="35">
        <v>40</v>
      </c>
      <c r="E39" s="35">
        <v>18000</v>
      </c>
      <c r="F39" s="35">
        <v>23</v>
      </c>
      <c r="G39" s="35">
        <v>1</v>
      </c>
      <c r="H39" s="32" t="s">
        <v>197</v>
      </c>
      <c r="I39" s="32">
        <v>2</v>
      </c>
      <c r="J39" s="32">
        <v>2</v>
      </c>
      <c r="K39" s="32" t="s">
        <v>276</v>
      </c>
      <c r="L39" s="32" t="s">
        <v>155</v>
      </c>
      <c r="M39" s="42" t="s">
        <v>285</v>
      </c>
      <c r="N39" s="35">
        <v>0</v>
      </c>
      <c r="O39" s="51">
        <v>-3.999999999996362E-2</v>
      </c>
      <c r="P39" s="51">
        <v>-3.999999999996362E-2</v>
      </c>
      <c r="Q39" s="64">
        <v>1</v>
      </c>
      <c r="R39" s="76">
        <v>2.613533980582524</v>
      </c>
      <c r="S39" s="76">
        <v>2.613533980582524</v>
      </c>
      <c r="T39" s="66">
        <v>2.8210394973070021</v>
      </c>
      <c r="U39" s="67">
        <f t="shared" si="0"/>
        <v>2.7172867389447628</v>
      </c>
      <c r="V39" s="66">
        <v>2.7514604409857331</v>
      </c>
    </row>
    <row r="40" spans="1:22">
      <c r="A40" s="32" t="s">
        <v>86</v>
      </c>
      <c r="B40" s="35" t="s">
        <v>82</v>
      </c>
      <c r="C40" s="35" t="s">
        <v>21</v>
      </c>
      <c r="D40" s="35">
        <v>40</v>
      </c>
      <c r="E40" s="35">
        <v>18000</v>
      </c>
      <c r="F40" s="35">
        <v>23</v>
      </c>
      <c r="G40" s="35">
        <v>1</v>
      </c>
      <c r="H40" s="32" t="s">
        <v>197</v>
      </c>
      <c r="I40" s="32">
        <v>3</v>
      </c>
      <c r="J40" s="32">
        <v>3</v>
      </c>
      <c r="K40" s="32" t="s">
        <v>275</v>
      </c>
      <c r="L40" s="32" t="s">
        <v>158</v>
      </c>
      <c r="M40" s="42" t="s">
        <v>285</v>
      </c>
      <c r="N40" s="35">
        <v>0</v>
      </c>
      <c r="O40" s="51" t="s">
        <v>395</v>
      </c>
      <c r="P40" s="51"/>
      <c r="Q40" s="64">
        <v>0</v>
      </c>
      <c r="R40" s="76">
        <v>2.4503727272727271</v>
      </c>
      <c r="S40" s="76">
        <v>2.4503727272727271</v>
      </c>
      <c r="T40" s="66">
        <v>2.8117121212121221</v>
      </c>
      <c r="U40" s="67">
        <f t="shared" si="0"/>
        <v>2.6310424242424246</v>
      </c>
      <c r="V40" s="66">
        <v>2.7292814432989689</v>
      </c>
    </row>
    <row r="41" spans="1:22">
      <c r="A41" s="32" t="s">
        <v>86</v>
      </c>
      <c r="B41" s="35" t="s">
        <v>82</v>
      </c>
      <c r="C41" s="35" t="s">
        <v>21</v>
      </c>
      <c r="D41" s="35">
        <v>40</v>
      </c>
      <c r="E41" s="35">
        <v>18000</v>
      </c>
      <c r="F41" s="35">
        <v>23</v>
      </c>
      <c r="G41" s="35">
        <v>1</v>
      </c>
      <c r="H41" s="32" t="s">
        <v>197</v>
      </c>
      <c r="I41" s="32">
        <v>4</v>
      </c>
      <c r="J41" s="32">
        <v>4</v>
      </c>
      <c r="K41" s="32" t="s">
        <v>276</v>
      </c>
      <c r="L41" s="32" t="s">
        <v>157</v>
      </c>
      <c r="M41" s="42" t="s">
        <v>285</v>
      </c>
      <c r="N41" s="35">
        <v>0</v>
      </c>
      <c r="O41" s="51" t="s">
        <v>395</v>
      </c>
      <c r="P41" s="51"/>
      <c r="Q41" s="64">
        <v>0</v>
      </c>
      <c r="R41" s="76">
        <v>2.7511203703703702</v>
      </c>
      <c r="S41" s="76">
        <v>2.7511203703703702</v>
      </c>
      <c r="T41" s="66">
        <v>2.9279189944134081</v>
      </c>
      <c r="U41" s="67">
        <f t="shared" si="0"/>
        <v>2.8395196823918889</v>
      </c>
      <c r="V41" s="66">
        <v>2.8958594285714279</v>
      </c>
    </row>
    <row r="42" spans="1:22">
      <c r="A42" s="32" t="s">
        <v>86</v>
      </c>
      <c r="B42" s="35" t="s">
        <v>82</v>
      </c>
      <c r="C42" s="35" t="s">
        <v>21</v>
      </c>
      <c r="D42" s="35">
        <v>40</v>
      </c>
      <c r="E42" s="35">
        <v>18000</v>
      </c>
      <c r="F42" s="35">
        <v>23</v>
      </c>
      <c r="G42" s="35">
        <v>1</v>
      </c>
      <c r="H42" s="32" t="s">
        <v>197</v>
      </c>
      <c r="I42" s="32">
        <v>5</v>
      </c>
      <c r="K42" s="32" t="s">
        <v>276</v>
      </c>
      <c r="L42" s="32" t="s">
        <v>156</v>
      </c>
      <c r="M42" s="42" t="s">
        <v>285</v>
      </c>
      <c r="N42" s="35"/>
      <c r="O42" s="51"/>
      <c r="P42" s="51"/>
      <c r="Q42" s="64"/>
    </row>
    <row r="43" spans="1:22">
      <c r="A43" s="32" t="s">
        <v>86</v>
      </c>
      <c r="B43" s="35" t="s">
        <v>82</v>
      </c>
      <c r="C43" s="35" t="s">
        <v>21</v>
      </c>
      <c r="D43" s="35">
        <v>40</v>
      </c>
      <c r="E43" s="35">
        <v>18000</v>
      </c>
      <c r="F43" s="35">
        <v>23</v>
      </c>
      <c r="G43" s="35">
        <v>1</v>
      </c>
      <c r="H43" s="32" t="s">
        <v>197</v>
      </c>
      <c r="I43" s="32">
        <v>6</v>
      </c>
      <c r="J43" s="32">
        <v>5</v>
      </c>
      <c r="K43" s="32" t="s">
        <v>275</v>
      </c>
      <c r="L43" s="32" t="s">
        <v>153</v>
      </c>
      <c r="M43" s="42" t="s">
        <v>285</v>
      </c>
      <c r="N43" s="35">
        <v>0</v>
      </c>
      <c r="O43" s="51">
        <v>0.59500000000002728</v>
      </c>
      <c r="P43" s="51">
        <v>0.59500000000002728</v>
      </c>
      <c r="Q43" s="64">
        <v>1</v>
      </c>
      <c r="R43" s="76">
        <v>2.828198855507869</v>
      </c>
      <c r="S43" s="76">
        <v>2.828198855507869</v>
      </c>
      <c r="T43" s="66">
        <v>3.0647109826589598</v>
      </c>
      <c r="U43" s="67">
        <f t="shared" ref="U43:U54" si="1">AVERAGE(S43:T43)</f>
        <v>2.9464549190834144</v>
      </c>
      <c r="V43" s="66">
        <v>2.9306889632107032</v>
      </c>
    </row>
    <row r="44" spans="1:22">
      <c r="A44" s="32" t="s">
        <v>86</v>
      </c>
      <c r="B44" s="35" t="s">
        <v>82</v>
      </c>
      <c r="C44" s="35" t="s">
        <v>14</v>
      </c>
      <c r="D44" s="35">
        <v>40</v>
      </c>
      <c r="E44" s="35">
        <v>18000</v>
      </c>
      <c r="F44" s="35">
        <v>23</v>
      </c>
      <c r="G44" s="35">
        <v>2</v>
      </c>
      <c r="H44" s="32" t="s">
        <v>199</v>
      </c>
      <c r="I44" s="32">
        <v>1</v>
      </c>
      <c r="K44" s="32" t="s">
        <v>276</v>
      </c>
      <c r="L44" s="32" t="s">
        <v>156</v>
      </c>
      <c r="M44" s="42" t="s">
        <v>286</v>
      </c>
      <c r="N44" s="35">
        <v>0</v>
      </c>
      <c r="O44" s="51"/>
      <c r="P44" s="51"/>
      <c r="Q44" s="64"/>
      <c r="R44" s="76">
        <v>3.3716386861313872</v>
      </c>
      <c r="S44" s="76">
        <v>3.3716386861313872</v>
      </c>
      <c r="T44" s="66">
        <v>3.382478139534884</v>
      </c>
      <c r="U44" s="67">
        <f t="shared" si="1"/>
        <v>3.3770584128331356</v>
      </c>
      <c r="V44" s="66">
        <v>3.3834533652203622</v>
      </c>
    </row>
    <row r="45" spans="1:22">
      <c r="A45" s="32" t="s">
        <v>86</v>
      </c>
      <c r="B45" s="35" t="s">
        <v>82</v>
      </c>
      <c r="C45" s="35" t="s">
        <v>14</v>
      </c>
      <c r="D45" s="35">
        <v>40</v>
      </c>
      <c r="E45" s="35">
        <v>18000</v>
      </c>
      <c r="F45" s="35">
        <v>23</v>
      </c>
      <c r="G45" s="35">
        <v>2</v>
      </c>
      <c r="H45" s="32" t="s">
        <v>199</v>
      </c>
      <c r="I45" s="32">
        <v>2</v>
      </c>
      <c r="J45" s="32">
        <v>1</v>
      </c>
      <c r="K45" s="32" t="s">
        <v>275</v>
      </c>
      <c r="L45" s="32" t="s">
        <v>157</v>
      </c>
      <c r="M45" s="42" t="s">
        <v>286</v>
      </c>
      <c r="N45" s="35">
        <v>0</v>
      </c>
      <c r="O45" s="51">
        <v>3.4150000000000205</v>
      </c>
      <c r="P45" s="51">
        <v>3.4150000000000205</v>
      </c>
      <c r="Q45" s="64">
        <v>1</v>
      </c>
      <c r="R45" s="76">
        <v>3.2234894058994601</v>
      </c>
      <c r="S45" s="76">
        <v>3.2234894058994601</v>
      </c>
      <c r="T45" s="66">
        <v>3.2340949464012261</v>
      </c>
      <c r="U45" s="67">
        <f t="shared" si="1"/>
        <v>3.2287921761503431</v>
      </c>
      <c r="V45" s="66">
        <v>3.238984121505005</v>
      </c>
    </row>
    <row r="46" spans="1:22">
      <c r="A46" s="32" t="s">
        <v>86</v>
      </c>
      <c r="B46" s="35" t="s">
        <v>82</v>
      </c>
      <c r="C46" s="35" t="s">
        <v>14</v>
      </c>
      <c r="D46" s="35">
        <v>40</v>
      </c>
      <c r="E46" s="35">
        <v>18000</v>
      </c>
      <c r="F46" s="35">
        <v>23</v>
      </c>
      <c r="G46" s="35">
        <v>2</v>
      </c>
      <c r="H46" s="32" t="s">
        <v>199</v>
      </c>
      <c r="I46" s="32">
        <v>3</v>
      </c>
      <c r="J46" s="32">
        <v>2</v>
      </c>
      <c r="K46" s="32" t="s">
        <v>276</v>
      </c>
      <c r="L46" s="32" t="s">
        <v>153</v>
      </c>
      <c r="M46" s="42" t="s">
        <v>214</v>
      </c>
      <c r="N46" s="35">
        <v>0</v>
      </c>
      <c r="O46" s="51">
        <v>6.9890000000000327</v>
      </c>
      <c r="P46" s="51">
        <v>6.9890000000000327</v>
      </c>
      <c r="Q46" s="64">
        <v>1</v>
      </c>
      <c r="R46" s="76">
        <v>3.0611133470225869</v>
      </c>
      <c r="S46" s="76">
        <v>3.0611133470225869</v>
      </c>
      <c r="T46" s="66">
        <v>3.24087725631769</v>
      </c>
      <c r="U46" s="67">
        <f t="shared" si="1"/>
        <v>3.1509953016701386</v>
      </c>
      <c r="V46" s="66">
        <v>3.079222838137472</v>
      </c>
    </row>
    <row r="47" spans="1:22">
      <c r="A47" s="32" t="s">
        <v>86</v>
      </c>
      <c r="B47" s="35" t="s">
        <v>82</v>
      </c>
      <c r="C47" s="35" t="s">
        <v>14</v>
      </c>
      <c r="D47" s="35">
        <v>40</v>
      </c>
      <c r="E47" s="35">
        <v>18000</v>
      </c>
      <c r="F47" s="35">
        <v>23</v>
      </c>
      <c r="G47" s="35">
        <v>2</v>
      </c>
      <c r="H47" s="32" t="s">
        <v>199</v>
      </c>
      <c r="I47" s="32">
        <v>4</v>
      </c>
      <c r="J47" s="32">
        <v>3</v>
      </c>
      <c r="K47" s="32" t="s">
        <v>276</v>
      </c>
      <c r="L47" s="32" t="s">
        <v>158</v>
      </c>
      <c r="M47" s="42" t="s">
        <v>214</v>
      </c>
      <c r="N47" s="35">
        <v>0</v>
      </c>
      <c r="O47" s="51">
        <v>3.2999999999999545</v>
      </c>
      <c r="P47" s="51">
        <v>3.2999999999999545</v>
      </c>
      <c r="Q47" s="64">
        <v>1</v>
      </c>
      <c r="R47" s="76">
        <v>3.1406537661256761</v>
      </c>
      <c r="S47" s="76">
        <v>3.1406537661256761</v>
      </c>
      <c r="T47" s="66">
        <v>3.2667270029673592</v>
      </c>
      <c r="U47" s="67">
        <f t="shared" si="1"/>
        <v>3.2036903845465177</v>
      </c>
      <c r="V47" s="66">
        <v>3.153728637413395</v>
      </c>
    </row>
    <row r="48" spans="1:22">
      <c r="A48" s="32" t="s">
        <v>86</v>
      </c>
      <c r="B48" s="35" t="s">
        <v>82</v>
      </c>
      <c r="C48" s="35" t="s">
        <v>14</v>
      </c>
      <c r="D48" s="35">
        <v>40</v>
      </c>
      <c r="E48" s="35">
        <v>18000</v>
      </c>
      <c r="F48" s="35">
        <v>23</v>
      </c>
      <c r="G48" s="35">
        <v>2</v>
      </c>
      <c r="H48" s="32" t="s">
        <v>199</v>
      </c>
      <c r="I48" s="32">
        <v>5</v>
      </c>
      <c r="J48" s="32">
        <v>4</v>
      </c>
      <c r="K48" s="32" t="s">
        <v>275</v>
      </c>
      <c r="L48" s="32" t="s">
        <v>155</v>
      </c>
      <c r="M48" s="42" t="s">
        <v>214</v>
      </c>
      <c r="N48" s="35">
        <v>0</v>
      </c>
      <c r="O48" s="51">
        <v>8.0000000000040927E-2</v>
      </c>
      <c r="P48" s="51">
        <v>8.0000000000040927E-2</v>
      </c>
      <c r="Q48" s="64">
        <v>1</v>
      </c>
      <c r="R48" s="76">
        <v>3.2513371091980061</v>
      </c>
      <c r="S48" s="76">
        <v>3.2513371091980061</v>
      </c>
      <c r="T48" s="66">
        <v>3.2345138888888889</v>
      </c>
      <c r="U48" s="67">
        <f t="shared" si="1"/>
        <v>3.2429254990434475</v>
      </c>
      <c r="V48" s="66">
        <v>3.2510544082605239</v>
      </c>
    </row>
    <row r="49" spans="1:22">
      <c r="A49" s="32" t="s">
        <v>86</v>
      </c>
      <c r="B49" s="35" t="s">
        <v>82</v>
      </c>
      <c r="C49" s="35" t="s">
        <v>14</v>
      </c>
      <c r="D49" s="35">
        <v>40</v>
      </c>
      <c r="E49" s="35">
        <v>18000</v>
      </c>
      <c r="F49" s="35">
        <v>23</v>
      </c>
      <c r="G49" s="35">
        <v>2</v>
      </c>
      <c r="H49" s="32" t="s">
        <v>199</v>
      </c>
      <c r="I49" s="32">
        <v>6</v>
      </c>
      <c r="J49" s="32">
        <v>5</v>
      </c>
      <c r="K49" s="32" t="s">
        <v>275</v>
      </c>
      <c r="L49" s="32" t="s">
        <v>154</v>
      </c>
      <c r="M49" s="42" t="s">
        <v>214</v>
      </c>
      <c r="N49" s="35">
        <v>0</v>
      </c>
      <c r="O49" s="51">
        <v>1.4209999999998217</v>
      </c>
      <c r="P49" s="51">
        <v>1.4209999999998217</v>
      </c>
      <c r="Q49" s="64">
        <v>1</v>
      </c>
      <c r="R49" s="76">
        <v>3.205564793311658</v>
      </c>
      <c r="S49" s="76">
        <v>3.205564793311658</v>
      </c>
      <c r="T49" s="66">
        <v>3.3438360277136261</v>
      </c>
      <c r="U49" s="67">
        <f t="shared" si="1"/>
        <v>3.2747004105126418</v>
      </c>
      <c r="V49" s="66">
        <v>3.2306124148372439</v>
      </c>
    </row>
    <row r="50" spans="1:22">
      <c r="A50" s="32" t="s">
        <v>86</v>
      </c>
      <c r="B50" s="35" t="s">
        <v>82</v>
      </c>
      <c r="C50" s="35" t="s">
        <v>22</v>
      </c>
      <c r="D50" s="35">
        <v>40</v>
      </c>
      <c r="E50" s="35">
        <v>18000</v>
      </c>
      <c r="F50" s="35">
        <v>23</v>
      </c>
      <c r="G50" s="35">
        <v>3</v>
      </c>
      <c r="H50" s="32" t="s">
        <v>194</v>
      </c>
      <c r="I50" s="32">
        <v>1</v>
      </c>
      <c r="J50" s="32">
        <v>1</v>
      </c>
      <c r="K50" s="32" t="s">
        <v>275</v>
      </c>
      <c r="L50" s="32" t="s">
        <v>153</v>
      </c>
      <c r="M50" s="42" t="s">
        <v>287</v>
      </c>
      <c r="N50" s="35">
        <v>0</v>
      </c>
      <c r="O50" s="51">
        <v>0.61099999999999</v>
      </c>
      <c r="P50" s="51">
        <v>0.61099999999999</v>
      </c>
      <c r="Q50" s="64">
        <v>1</v>
      </c>
      <c r="R50" s="76">
        <v>3.11224741873805</v>
      </c>
      <c r="S50" s="76">
        <v>3.11224741873805</v>
      </c>
      <c r="T50" s="66">
        <v>3.2890441458733211</v>
      </c>
      <c r="U50" s="67">
        <f t="shared" si="1"/>
        <v>3.2006457823056857</v>
      </c>
      <c r="V50" s="66">
        <v>3.1449421965317921</v>
      </c>
    </row>
    <row r="51" spans="1:22">
      <c r="A51" s="32" t="s">
        <v>86</v>
      </c>
      <c r="B51" s="35" t="s">
        <v>82</v>
      </c>
      <c r="C51" s="35" t="s">
        <v>22</v>
      </c>
      <c r="D51" s="35">
        <v>40</v>
      </c>
      <c r="E51" s="35">
        <v>18000</v>
      </c>
      <c r="F51" s="35">
        <v>23</v>
      </c>
      <c r="G51" s="35">
        <v>3</v>
      </c>
      <c r="H51" s="32" t="s">
        <v>194</v>
      </c>
      <c r="I51" s="32">
        <v>2</v>
      </c>
      <c r="J51" s="32">
        <v>2</v>
      </c>
      <c r="K51" s="32" t="s">
        <v>276</v>
      </c>
      <c r="L51" s="32" t="s">
        <v>154</v>
      </c>
      <c r="M51" s="42" t="s">
        <v>287</v>
      </c>
      <c r="N51" s="35">
        <v>0</v>
      </c>
      <c r="O51" s="51" t="s">
        <v>395</v>
      </c>
      <c r="P51" s="51"/>
      <c r="Q51" s="64">
        <v>0</v>
      </c>
      <c r="R51" s="76">
        <v>2.7377765017667839</v>
      </c>
      <c r="S51" s="76">
        <v>2.7377765017667839</v>
      </c>
      <c r="T51" s="66">
        <v>2.9679605678233441</v>
      </c>
      <c r="U51" s="67">
        <f t="shared" si="1"/>
        <v>2.8528685347950642</v>
      </c>
      <c r="V51" s="66">
        <v>2.8315246015246012</v>
      </c>
    </row>
    <row r="52" spans="1:22">
      <c r="A52" s="32" t="s">
        <v>86</v>
      </c>
      <c r="B52" s="35" t="s">
        <v>82</v>
      </c>
      <c r="C52" s="35" t="s">
        <v>22</v>
      </c>
      <c r="D52" s="35">
        <v>40</v>
      </c>
      <c r="E52" s="35">
        <v>18000</v>
      </c>
      <c r="F52" s="35">
        <v>23</v>
      </c>
      <c r="G52" s="35">
        <v>3</v>
      </c>
      <c r="H52" s="32" t="s">
        <v>194</v>
      </c>
      <c r="I52" s="32">
        <v>3</v>
      </c>
      <c r="J52" s="32">
        <v>3</v>
      </c>
      <c r="K52" s="32" t="s">
        <v>276</v>
      </c>
      <c r="L52" s="32" t="s">
        <v>155</v>
      </c>
      <c r="M52" s="42" t="s">
        <v>210</v>
      </c>
      <c r="N52" s="35">
        <v>0</v>
      </c>
      <c r="O52" s="51">
        <v>2.7010000000000218</v>
      </c>
      <c r="P52" s="51">
        <v>2.7010000000000218</v>
      </c>
      <c r="Q52" s="64">
        <v>1</v>
      </c>
      <c r="R52" s="76">
        <v>2.8888553537883528</v>
      </c>
      <c r="S52" s="76">
        <v>2.8888553537883528</v>
      </c>
      <c r="T52" s="66">
        <v>2.7602539682539682</v>
      </c>
      <c r="U52" s="67">
        <f t="shared" si="1"/>
        <v>2.8245546610211605</v>
      </c>
      <c r="V52" s="66">
        <v>2.8935923490735198</v>
      </c>
    </row>
    <row r="53" spans="1:22">
      <c r="A53" s="32" t="s">
        <v>86</v>
      </c>
      <c r="B53" s="35" t="s">
        <v>82</v>
      </c>
      <c r="C53" s="35" t="s">
        <v>22</v>
      </c>
      <c r="D53" s="35">
        <v>40</v>
      </c>
      <c r="E53" s="35">
        <v>18000</v>
      </c>
      <c r="F53" s="35">
        <v>23</v>
      </c>
      <c r="G53" s="35">
        <v>3</v>
      </c>
      <c r="H53" s="32" t="s">
        <v>194</v>
      </c>
      <c r="I53" s="32">
        <v>4</v>
      </c>
      <c r="K53" s="32" t="s">
        <v>275</v>
      </c>
      <c r="L53" s="32" t="s">
        <v>156</v>
      </c>
      <c r="M53" s="42" t="s">
        <v>210</v>
      </c>
      <c r="N53" s="35">
        <v>0</v>
      </c>
      <c r="O53" s="51"/>
      <c r="P53" s="51"/>
      <c r="Q53" s="64"/>
      <c r="R53" s="76">
        <v>2.652170708050436</v>
      </c>
      <c r="S53" s="76">
        <v>2.652170708050436</v>
      </c>
      <c r="T53" s="66">
        <v>3.005212765957447</v>
      </c>
      <c r="U53" s="67">
        <f t="shared" si="1"/>
        <v>2.8286917370039415</v>
      </c>
      <c r="V53" s="66">
        <v>2.666366071428572</v>
      </c>
    </row>
    <row r="54" spans="1:22">
      <c r="A54" s="32" t="s">
        <v>86</v>
      </c>
      <c r="B54" s="35" t="s">
        <v>82</v>
      </c>
      <c r="C54" s="35" t="s">
        <v>22</v>
      </c>
      <c r="D54" s="35">
        <v>40</v>
      </c>
      <c r="E54" s="35">
        <v>18000</v>
      </c>
      <c r="F54" s="35">
        <v>23</v>
      </c>
      <c r="G54" s="35">
        <v>3</v>
      </c>
      <c r="H54" s="32" t="s">
        <v>194</v>
      </c>
      <c r="I54" s="32">
        <v>5</v>
      </c>
      <c r="J54" s="32">
        <v>4</v>
      </c>
      <c r="K54" s="32" t="s">
        <v>276</v>
      </c>
      <c r="L54" s="32" t="s">
        <v>157</v>
      </c>
      <c r="M54" s="42" t="s">
        <v>210</v>
      </c>
      <c r="N54" s="35">
        <v>0</v>
      </c>
      <c r="O54" s="51" t="s">
        <v>395</v>
      </c>
      <c r="P54" s="51"/>
      <c r="Q54" s="64">
        <v>0</v>
      </c>
      <c r="R54" s="76">
        <v>2.726912536443149</v>
      </c>
      <c r="S54" s="76">
        <v>2.726912536443149</v>
      </c>
      <c r="T54" s="66">
        <v>2.9557903225806448</v>
      </c>
      <c r="U54" s="67">
        <f t="shared" si="1"/>
        <v>2.8413514295118967</v>
      </c>
      <c r="V54" s="66">
        <v>2.7431646017699109</v>
      </c>
    </row>
    <row r="55" spans="1:22">
      <c r="A55" s="32" t="s">
        <v>86</v>
      </c>
      <c r="B55" s="35" t="s">
        <v>82</v>
      </c>
      <c r="C55" s="35" t="s">
        <v>22</v>
      </c>
      <c r="D55" s="35">
        <v>40</v>
      </c>
      <c r="E55" s="35">
        <v>18000</v>
      </c>
      <c r="F55" s="35">
        <v>23</v>
      </c>
      <c r="G55" s="35">
        <v>3</v>
      </c>
      <c r="H55" s="32" t="s">
        <v>194</v>
      </c>
      <c r="I55" s="32">
        <v>6</v>
      </c>
      <c r="J55" s="32">
        <v>5</v>
      </c>
      <c r="K55" s="32" t="s">
        <v>275</v>
      </c>
      <c r="L55" s="32" t="s">
        <v>158</v>
      </c>
      <c r="M55" s="42" t="s">
        <v>210</v>
      </c>
      <c r="N55" s="35"/>
      <c r="O55" s="51" t="s">
        <v>394</v>
      </c>
      <c r="P55" s="51" t="s">
        <v>394</v>
      </c>
      <c r="Q55" s="64" t="s">
        <v>274</v>
      </c>
    </row>
    <row r="56" spans="1:22">
      <c r="A56" s="32" t="s">
        <v>123</v>
      </c>
      <c r="B56" s="35" t="s">
        <v>65</v>
      </c>
      <c r="C56" s="35" t="s">
        <v>21</v>
      </c>
      <c r="D56" s="35">
        <v>25</v>
      </c>
      <c r="E56" s="35">
        <v>700</v>
      </c>
      <c r="F56" s="35">
        <v>3</v>
      </c>
      <c r="G56" s="35">
        <v>3</v>
      </c>
      <c r="H56" s="32" t="s">
        <v>199</v>
      </c>
      <c r="I56" s="32">
        <v>1</v>
      </c>
      <c r="K56" s="32" t="s">
        <v>276</v>
      </c>
      <c r="L56" s="32" t="s">
        <v>156</v>
      </c>
      <c r="M56" s="42" t="s">
        <v>359</v>
      </c>
      <c r="N56" s="35"/>
      <c r="O56" s="51"/>
      <c r="P56" s="51"/>
      <c r="Q56" s="64"/>
    </row>
    <row r="57" spans="1:22">
      <c r="A57" s="32" t="s">
        <v>123</v>
      </c>
      <c r="B57" s="35" t="s">
        <v>65</v>
      </c>
      <c r="C57" s="35" t="s">
        <v>21</v>
      </c>
      <c r="D57" s="35">
        <v>25</v>
      </c>
      <c r="E57" s="35">
        <v>700</v>
      </c>
      <c r="F57" s="35">
        <v>3</v>
      </c>
      <c r="G57" s="35">
        <v>3</v>
      </c>
      <c r="H57" s="32" t="s">
        <v>199</v>
      </c>
      <c r="I57" s="32">
        <v>2</v>
      </c>
      <c r="J57" s="32">
        <v>1</v>
      </c>
      <c r="K57" s="32" t="s">
        <v>275</v>
      </c>
      <c r="L57" s="32" t="s">
        <v>157</v>
      </c>
      <c r="M57" s="42" t="s">
        <v>359</v>
      </c>
      <c r="N57" s="35">
        <v>0</v>
      </c>
      <c r="O57" s="51" t="s">
        <v>394</v>
      </c>
      <c r="P57" s="51" t="s">
        <v>394</v>
      </c>
      <c r="Q57" s="64" t="s">
        <v>274</v>
      </c>
      <c r="R57" s="76">
        <v>3.7149740391099129</v>
      </c>
      <c r="S57" s="76">
        <v>3.7149740391099129</v>
      </c>
      <c r="T57" s="66">
        <v>3.5321375377390138</v>
      </c>
      <c r="U57" s="67">
        <f t="shared" ref="U57:U88" si="2">AVERAGE(S57:T57)</f>
        <v>3.6235557884244631</v>
      </c>
      <c r="V57" s="66">
        <v>3.62201598934044</v>
      </c>
    </row>
    <row r="58" spans="1:22">
      <c r="A58" s="32" t="s">
        <v>123</v>
      </c>
      <c r="B58" s="35" t="s">
        <v>65</v>
      </c>
      <c r="C58" s="35" t="s">
        <v>21</v>
      </c>
      <c r="D58" s="35">
        <v>25</v>
      </c>
      <c r="E58" s="35">
        <v>700</v>
      </c>
      <c r="F58" s="35">
        <v>3</v>
      </c>
      <c r="G58" s="35">
        <v>3</v>
      </c>
      <c r="H58" s="32" t="s">
        <v>199</v>
      </c>
      <c r="I58" s="32">
        <v>3</v>
      </c>
      <c r="J58" s="32">
        <v>2</v>
      </c>
      <c r="K58" s="32" t="s">
        <v>276</v>
      </c>
      <c r="L58" s="32" t="s">
        <v>153</v>
      </c>
      <c r="M58" s="42" t="s">
        <v>237</v>
      </c>
      <c r="N58" s="35">
        <v>0</v>
      </c>
      <c r="O58" s="51">
        <v>10.92999999999995</v>
      </c>
      <c r="P58" s="51">
        <v>10.92999999999995</v>
      </c>
      <c r="Q58" s="64">
        <v>1</v>
      </c>
      <c r="R58" s="76">
        <v>3.6557557304139578</v>
      </c>
      <c r="S58" s="76">
        <v>3.6557557304139578</v>
      </c>
      <c r="T58" s="66">
        <v>3.47614813559322</v>
      </c>
      <c r="U58" s="67">
        <f t="shared" si="2"/>
        <v>3.5659519330035891</v>
      </c>
      <c r="V58" s="66">
        <v>3.575410565028418</v>
      </c>
    </row>
    <row r="59" spans="1:22">
      <c r="A59" s="32" t="s">
        <v>123</v>
      </c>
      <c r="B59" s="35" t="s">
        <v>65</v>
      </c>
      <c r="C59" s="35" t="s">
        <v>21</v>
      </c>
      <c r="D59" s="35">
        <v>25</v>
      </c>
      <c r="E59" s="35">
        <v>700</v>
      </c>
      <c r="F59" s="35">
        <v>3</v>
      </c>
      <c r="G59" s="35">
        <v>3</v>
      </c>
      <c r="H59" s="32" t="s">
        <v>199</v>
      </c>
      <c r="I59" s="32">
        <v>4</v>
      </c>
      <c r="J59" s="32">
        <v>3</v>
      </c>
      <c r="K59" s="32" t="s">
        <v>276</v>
      </c>
      <c r="L59" s="32" t="s">
        <v>158</v>
      </c>
      <c r="M59" s="42" t="s">
        <v>237</v>
      </c>
      <c r="N59" s="35">
        <v>0</v>
      </c>
      <c r="O59" s="51">
        <v>0.88999999999998636</v>
      </c>
      <c r="P59" s="51">
        <v>0.88999999999998636</v>
      </c>
      <c r="Q59" s="64">
        <v>1</v>
      </c>
      <c r="R59" s="76">
        <v>3.6615265866209259</v>
      </c>
      <c r="S59" s="76">
        <v>3.6615265866209259</v>
      </c>
      <c r="T59" s="66">
        <v>3.4634893184130209</v>
      </c>
      <c r="U59" s="67">
        <f t="shared" si="2"/>
        <v>3.5625079525169734</v>
      </c>
      <c r="V59" s="66">
        <v>3.567884705882352</v>
      </c>
    </row>
    <row r="60" spans="1:22">
      <c r="A60" s="32" t="s">
        <v>123</v>
      </c>
      <c r="B60" s="35" t="s">
        <v>65</v>
      </c>
      <c r="C60" s="35" t="s">
        <v>21</v>
      </c>
      <c r="D60" s="35">
        <v>25</v>
      </c>
      <c r="E60" s="35">
        <v>700</v>
      </c>
      <c r="F60" s="35">
        <v>3</v>
      </c>
      <c r="G60" s="35">
        <v>3</v>
      </c>
      <c r="H60" s="32" t="s">
        <v>199</v>
      </c>
      <c r="I60" s="32">
        <v>5</v>
      </c>
      <c r="J60" s="32">
        <v>4</v>
      </c>
      <c r="K60" s="32" t="s">
        <v>275</v>
      </c>
      <c r="L60" s="32" t="s">
        <v>155</v>
      </c>
      <c r="M60" s="42" t="s">
        <v>237</v>
      </c>
      <c r="N60" s="35">
        <v>0</v>
      </c>
      <c r="O60" s="51">
        <v>1.1700000000000728</v>
      </c>
      <c r="P60" s="51">
        <v>1.1700000000000728</v>
      </c>
      <c r="Q60" s="64">
        <v>1</v>
      </c>
      <c r="R60" s="76">
        <v>3.7421470790378009</v>
      </c>
      <c r="S60" s="76">
        <v>3.7421470790378009</v>
      </c>
      <c r="T60" s="66">
        <v>3.5033410013531801</v>
      </c>
      <c r="U60" s="67">
        <f t="shared" si="2"/>
        <v>3.6227440401954905</v>
      </c>
      <c r="V60" s="66">
        <v>3.621871042985672</v>
      </c>
    </row>
    <row r="61" spans="1:22">
      <c r="A61" s="32" t="s">
        <v>123</v>
      </c>
      <c r="B61" s="35" t="s">
        <v>65</v>
      </c>
      <c r="C61" s="35" t="s">
        <v>21</v>
      </c>
      <c r="D61" s="35">
        <v>25</v>
      </c>
      <c r="E61" s="35">
        <v>700</v>
      </c>
      <c r="F61" s="35">
        <v>3</v>
      </c>
      <c r="G61" s="35">
        <v>3</v>
      </c>
      <c r="H61" s="32" t="s">
        <v>199</v>
      </c>
      <c r="I61" s="32">
        <v>6</v>
      </c>
      <c r="J61" s="32">
        <v>5</v>
      </c>
      <c r="K61" s="32" t="s">
        <v>275</v>
      </c>
      <c r="L61" s="32" t="s">
        <v>154</v>
      </c>
      <c r="M61" s="42" t="s">
        <v>237</v>
      </c>
      <c r="N61" s="35">
        <v>0</v>
      </c>
      <c r="O61" s="51">
        <v>4.8099999999999454</v>
      </c>
      <c r="P61" s="51">
        <v>4.8099999999999454</v>
      </c>
      <c r="Q61" s="64">
        <v>1</v>
      </c>
      <c r="R61" s="76">
        <v>3.89908036622584</v>
      </c>
      <c r="S61" s="76">
        <v>3.89908036622584</v>
      </c>
      <c r="T61" s="66">
        <v>3.6236161377447669</v>
      </c>
      <c r="U61" s="67">
        <f t="shared" si="2"/>
        <v>3.7613482519853036</v>
      </c>
      <c r="V61" s="66">
        <v>3.761829602405613</v>
      </c>
    </row>
    <row r="62" spans="1:22">
      <c r="A62" s="33" t="s">
        <v>88</v>
      </c>
      <c r="B62" s="37" t="s">
        <v>82</v>
      </c>
      <c r="C62" s="37" t="s">
        <v>21</v>
      </c>
      <c r="D62" s="35">
        <v>27</v>
      </c>
      <c r="E62" s="35">
        <v>5000</v>
      </c>
      <c r="F62" s="35">
        <v>8</v>
      </c>
      <c r="G62" s="37">
        <v>1</v>
      </c>
      <c r="H62" s="33" t="s">
        <v>197</v>
      </c>
      <c r="I62" s="33">
        <v>1</v>
      </c>
      <c r="J62" s="33">
        <v>1</v>
      </c>
      <c r="K62" s="33" t="s">
        <v>275</v>
      </c>
      <c r="L62" s="33" t="s">
        <v>154</v>
      </c>
      <c r="M62" s="43" t="s">
        <v>282</v>
      </c>
      <c r="N62" s="35">
        <v>0</v>
      </c>
      <c r="O62" s="51">
        <v>2.1419999999999959</v>
      </c>
      <c r="P62" s="51">
        <v>2.1419999999999959</v>
      </c>
      <c r="Q62" s="64">
        <v>1</v>
      </c>
      <c r="R62" s="76">
        <v>3.9574577867473941</v>
      </c>
      <c r="S62" s="76">
        <v>3.9574577867473941</v>
      </c>
      <c r="T62" s="66">
        <v>3.841225413991213</v>
      </c>
      <c r="U62" s="67">
        <f t="shared" si="2"/>
        <v>3.8993416003693033</v>
      </c>
      <c r="V62" s="66">
        <v>3.89748065376918</v>
      </c>
    </row>
    <row r="63" spans="1:22">
      <c r="A63" s="33" t="s">
        <v>88</v>
      </c>
      <c r="B63" s="37" t="s">
        <v>82</v>
      </c>
      <c r="C63" s="37" t="s">
        <v>21</v>
      </c>
      <c r="D63" s="35">
        <v>27</v>
      </c>
      <c r="E63" s="35">
        <v>5000</v>
      </c>
      <c r="F63" s="35">
        <v>8</v>
      </c>
      <c r="G63" s="37">
        <v>1</v>
      </c>
      <c r="H63" s="33" t="s">
        <v>197</v>
      </c>
      <c r="I63" s="33">
        <v>2</v>
      </c>
      <c r="J63" s="33">
        <v>2</v>
      </c>
      <c r="K63" s="33" t="s">
        <v>276</v>
      </c>
      <c r="L63" s="33" t="s">
        <v>155</v>
      </c>
      <c r="M63" s="43" t="s">
        <v>282</v>
      </c>
      <c r="N63" s="35">
        <v>0</v>
      </c>
      <c r="O63" s="51">
        <v>1.6039999999999281</v>
      </c>
      <c r="P63" s="51">
        <v>1.6039999999999281</v>
      </c>
      <c r="Q63" s="64">
        <v>1</v>
      </c>
      <c r="R63" s="76">
        <v>3.8699918144611178</v>
      </c>
      <c r="S63" s="76">
        <v>3.8699918144611178</v>
      </c>
      <c r="T63" s="66">
        <v>3.6892399041752229</v>
      </c>
      <c r="U63" s="67">
        <f t="shared" si="2"/>
        <v>3.7796158593181701</v>
      </c>
      <c r="V63" s="66">
        <v>3.7811580894719139</v>
      </c>
    </row>
    <row r="64" spans="1:22">
      <c r="A64" s="33" t="s">
        <v>88</v>
      </c>
      <c r="B64" s="37" t="s">
        <v>82</v>
      </c>
      <c r="C64" s="37" t="s">
        <v>21</v>
      </c>
      <c r="D64" s="35">
        <v>27</v>
      </c>
      <c r="E64" s="35">
        <v>5000</v>
      </c>
      <c r="F64" s="35">
        <v>8</v>
      </c>
      <c r="G64" s="37">
        <v>1</v>
      </c>
      <c r="H64" s="33" t="s">
        <v>197</v>
      </c>
      <c r="I64" s="33">
        <v>3</v>
      </c>
      <c r="J64" s="33">
        <v>3</v>
      </c>
      <c r="K64" s="33" t="s">
        <v>275</v>
      </c>
      <c r="L64" s="33" t="s">
        <v>158</v>
      </c>
      <c r="M64" s="43" t="s">
        <v>282</v>
      </c>
      <c r="N64" s="35">
        <v>0</v>
      </c>
      <c r="O64" s="51">
        <v>0.30799999999999272</v>
      </c>
      <c r="P64" s="51">
        <v>0.30799999999999272</v>
      </c>
      <c r="Q64" s="64">
        <v>1</v>
      </c>
      <c r="R64" s="76">
        <v>3.8733156978767842</v>
      </c>
      <c r="S64" s="76">
        <v>3.8733156978767842</v>
      </c>
      <c r="T64" s="66">
        <v>3.6822541152263368</v>
      </c>
      <c r="U64" s="67">
        <f t="shared" si="2"/>
        <v>3.7777849065515605</v>
      </c>
      <c r="V64" s="66">
        <v>3.7736482597054888</v>
      </c>
    </row>
    <row r="65" spans="1:22">
      <c r="A65" s="33" t="s">
        <v>88</v>
      </c>
      <c r="B65" s="37" t="s">
        <v>82</v>
      </c>
      <c r="C65" s="37" t="s">
        <v>21</v>
      </c>
      <c r="D65" s="35">
        <v>27</v>
      </c>
      <c r="E65" s="35">
        <v>5000</v>
      </c>
      <c r="F65" s="35">
        <v>8</v>
      </c>
      <c r="G65" s="37">
        <v>1</v>
      </c>
      <c r="H65" s="33" t="s">
        <v>197</v>
      </c>
      <c r="I65" s="33">
        <v>4</v>
      </c>
      <c r="J65" s="33">
        <v>4</v>
      </c>
      <c r="K65" s="33" t="s">
        <v>276</v>
      </c>
      <c r="L65" s="33" t="s">
        <v>157</v>
      </c>
      <c r="M65" s="43" t="s">
        <v>282</v>
      </c>
      <c r="N65" s="35">
        <v>0</v>
      </c>
      <c r="O65" s="51">
        <v>2.8919999999999391</v>
      </c>
      <c r="P65" s="51">
        <v>2.8919999999999391</v>
      </c>
      <c r="Q65" s="64">
        <v>1</v>
      </c>
      <c r="R65" s="76">
        <v>3.8248301369863018</v>
      </c>
      <c r="S65" s="76">
        <v>3.8248301369863018</v>
      </c>
      <c r="T65" s="66">
        <v>3.592281840027463</v>
      </c>
      <c r="U65" s="67">
        <f t="shared" si="2"/>
        <v>3.7085559885068822</v>
      </c>
      <c r="V65" s="66">
        <v>3.7086799191374671</v>
      </c>
    </row>
    <row r="66" spans="1:22">
      <c r="A66" s="33" t="s">
        <v>88</v>
      </c>
      <c r="B66" s="37" t="s">
        <v>82</v>
      </c>
      <c r="C66" s="37" t="s">
        <v>21</v>
      </c>
      <c r="D66" s="35">
        <v>27</v>
      </c>
      <c r="E66" s="35">
        <v>5000</v>
      </c>
      <c r="F66" s="35">
        <v>8</v>
      </c>
      <c r="G66" s="37">
        <v>1</v>
      </c>
      <c r="H66" s="33" t="s">
        <v>197</v>
      </c>
      <c r="I66" s="33">
        <v>5</v>
      </c>
      <c r="J66" s="33"/>
      <c r="K66" s="33" t="s">
        <v>276</v>
      </c>
      <c r="L66" s="33" t="s">
        <v>156</v>
      </c>
      <c r="M66" s="43" t="s">
        <v>282</v>
      </c>
      <c r="N66" s="35">
        <v>0</v>
      </c>
      <c r="O66" s="51"/>
      <c r="P66" s="51"/>
      <c r="Q66" s="64"/>
      <c r="R66" s="76">
        <v>3.7638260568260571</v>
      </c>
      <c r="S66" s="76">
        <v>3.7638260568260571</v>
      </c>
      <c r="T66" s="66">
        <v>3.5688713043478271</v>
      </c>
      <c r="U66" s="67">
        <f t="shared" si="2"/>
        <v>3.6663486805869421</v>
      </c>
      <c r="V66" s="66">
        <v>3.665002016806723</v>
      </c>
    </row>
    <row r="67" spans="1:22">
      <c r="A67" s="33" t="s">
        <v>88</v>
      </c>
      <c r="B67" s="37" t="s">
        <v>82</v>
      </c>
      <c r="C67" s="37" t="s">
        <v>21</v>
      </c>
      <c r="D67" s="35">
        <v>27</v>
      </c>
      <c r="E67" s="35">
        <v>5000</v>
      </c>
      <c r="F67" s="35">
        <v>8</v>
      </c>
      <c r="G67" s="37">
        <v>1</v>
      </c>
      <c r="H67" s="33" t="s">
        <v>197</v>
      </c>
      <c r="I67" s="33">
        <v>6</v>
      </c>
      <c r="J67" s="33">
        <v>5</v>
      </c>
      <c r="K67" s="33" t="s">
        <v>275</v>
      </c>
      <c r="L67" s="33" t="s">
        <v>153</v>
      </c>
      <c r="M67" s="43" t="s">
        <v>282</v>
      </c>
      <c r="N67" s="35">
        <v>0</v>
      </c>
      <c r="O67" s="51">
        <v>1.5380000000000109</v>
      </c>
      <c r="P67" s="51">
        <v>1.5380000000000109</v>
      </c>
      <c r="Q67" s="64">
        <v>1</v>
      </c>
      <c r="R67" s="76">
        <v>3.4923832167832169</v>
      </c>
      <c r="S67" s="76">
        <v>3.4923832167832169</v>
      </c>
      <c r="T67" s="66">
        <v>3.3352850274725281</v>
      </c>
      <c r="U67" s="67">
        <f t="shared" si="2"/>
        <v>3.4138341221278727</v>
      </c>
      <c r="V67" s="66">
        <v>3.4100841999329079</v>
      </c>
    </row>
    <row r="68" spans="1:22">
      <c r="A68" s="33" t="s">
        <v>88</v>
      </c>
      <c r="B68" s="37" t="s">
        <v>82</v>
      </c>
      <c r="C68" s="37" t="s">
        <v>22</v>
      </c>
      <c r="D68" s="35">
        <v>27</v>
      </c>
      <c r="E68" s="35">
        <v>5000</v>
      </c>
      <c r="F68" s="35">
        <v>8</v>
      </c>
      <c r="G68" s="37">
        <v>2</v>
      </c>
      <c r="H68" s="33" t="s">
        <v>199</v>
      </c>
      <c r="I68" s="33">
        <v>1</v>
      </c>
      <c r="J68" s="33"/>
      <c r="K68" s="33" t="s">
        <v>276</v>
      </c>
      <c r="L68" s="33" t="s">
        <v>156</v>
      </c>
      <c r="M68" s="43" t="s">
        <v>283</v>
      </c>
      <c r="N68" s="35">
        <v>0</v>
      </c>
      <c r="O68" s="51"/>
      <c r="P68" s="51"/>
      <c r="Q68" s="64"/>
      <c r="R68" s="76">
        <v>3.9454778491714571</v>
      </c>
      <c r="S68" s="76">
        <v>3.9454778491714571</v>
      </c>
      <c r="T68" s="66">
        <v>3.637635135135135</v>
      </c>
      <c r="U68" s="67">
        <f t="shared" si="2"/>
        <v>3.7915564921532958</v>
      </c>
      <c r="V68" s="66">
        <v>3.788693204530313</v>
      </c>
    </row>
    <row r="69" spans="1:22">
      <c r="A69" s="33" t="s">
        <v>88</v>
      </c>
      <c r="B69" s="37" t="s">
        <v>82</v>
      </c>
      <c r="C69" s="37" t="s">
        <v>22</v>
      </c>
      <c r="D69" s="35">
        <v>27</v>
      </c>
      <c r="E69" s="35">
        <v>5000</v>
      </c>
      <c r="F69" s="35">
        <v>8</v>
      </c>
      <c r="G69" s="37">
        <v>2</v>
      </c>
      <c r="H69" s="33" t="s">
        <v>199</v>
      </c>
      <c r="I69" s="33">
        <v>2</v>
      </c>
      <c r="J69" s="33">
        <v>1</v>
      </c>
      <c r="K69" s="33" t="s">
        <v>275</v>
      </c>
      <c r="L69" s="33" t="s">
        <v>157</v>
      </c>
      <c r="M69" s="43" t="s">
        <v>283</v>
      </c>
      <c r="N69" s="35">
        <v>0</v>
      </c>
      <c r="O69" s="51">
        <v>1.5600000000000023</v>
      </c>
      <c r="P69" s="51">
        <v>1.5600000000000023</v>
      </c>
      <c r="Q69" s="64">
        <v>1</v>
      </c>
      <c r="R69" s="76">
        <v>3.929748484848484</v>
      </c>
      <c r="S69" s="76">
        <v>3.929748484848484</v>
      </c>
      <c r="T69" s="66">
        <v>3.6155747048903879</v>
      </c>
      <c r="U69" s="67">
        <f t="shared" si="2"/>
        <v>3.7726615948694358</v>
      </c>
      <c r="V69" s="66">
        <v>3.7725103471295061</v>
      </c>
    </row>
    <row r="70" spans="1:22">
      <c r="A70" s="33" t="s">
        <v>88</v>
      </c>
      <c r="B70" s="37" t="s">
        <v>82</v>
      </c>
      <c r="C70" s="37" t="s">
        <v>22</v>
      </c>
      <c r="D70" s="35">
        <v>27</v>
      </c>
      <c r="E70" s="35">
        <v>5000</v>
      </c>
      <c r="F70" s="35">
        <v>8</v>
      </c>
      <c r="G70" s="37">
        <v>2</v>
      </c>
      <c r="H70" s="33" t="s">
        <v>199</v>
      </c>
      <c r="I70" s="33">
        <v>3</v>
      </c>
      <c r="J70" s="33">
        <v>2</v>
      </c>
      <c r="K70" s="33" t="s">
        <v>276</v>
      </c>
      <c r="L70" s="33" t="s">
        <v>153</v>
      </c>
      <c r="M70" s="43" t="s">
        <v>256</v>
      </c>
      <c r="N70" s="35">
        <v>0</v>
      </c>
      <c r="O70" s="51">
        <v>1.2019999999999982</v>
      </c>
      <c r="P70" s="51">
        <v>1.2019999999999982</v>
      </c>
      <c r="Q70" s="64">
        <v>1</v>
      </c>
      <c r="R70" s="76">
        <v>3.9850016960651291</v>
      </c>
      <c r="S70" s="76">
        <v>3.9850016960651291</v>
      </c>
      <c r="T70" s="66">
        <v>3.622211954654758</v>
      </c>
      <c r="U70" s="67">
        <f t="shared" si="2"/>
        <v>3.8036068253599433</v>
      </c>
      <c r="V70" s="66">
        <v>3.800286953620287</v>
      </c>
    </row>
    <row r="71" spans="1:22">
      <c r="A71" s="33" t="s">
        <v>88</v>
      </c>
      <c r="B71" s="37" t="s">
        <v>82</v>
      </c>
      <c r="C71" s="37" t="s">
        <v>22</v>
      </c>
      <c r="D71" s="35">
        <v>27</v>
      </c>
      <c r="E71" s="35">
        <v>5000</v>
      </c>
      <c r="F71" s="35">
        <v>8</v>
      </c>
      <c r="G71" s="37">
        <v>2</v>
      </c>
      <c r="H71" s="33" t="s">
        <v>199</v>
      </c>
      <c r="I71" s="33">
        <v>4</v>
      </c>
      <c r="J71" s="33">
        <v>3</v>
      </c>
      <c r="K71" s="33" t="s">
        <v>276</v>
      </c>
      <c r="L71" s="33" t="s">
        <v>158</v>
      </c>
      <c r="M71" s="43" t="s">
        <v>256</v>
      </c>
      <c r="N71" s="35">
        <v>2.9999999999999997E-4</v>
      </c>
      <c r="O71" s="51">
        <v>-1.0999999999999091</v>
      </c>
      <c r="P71" s="51">
        <v>-1.0999999999999091</v>
      </c>
      <c r="Q71" s="64">
        <v>1</v>
      </c>
      <c r="R71" s="76">
        <v>3.8729388235294109</v>
      </c>
      <c r="S71" s="76">
        <v>3.8729388235294109</v>
      </c>
      <c r="T71" s="66">
        <v>3.521234143049933</v>
      </c>
      <c r="U71" s="67">
        <f t="shared" si="2"/>
        <v>3.6970864832896719</v>
      </c>
      <c r="V71" s="66">
        <v>3.697031978680879</v>
      </c>
    </row>
    <row r="72" spans="1:22">
      <c r="A72" s="33" t="s">
        <v>88</v>
      </c>
      <c r="B72" s="37" t="s">
        <v>82</v>
      </c>
      <c r="C72" s="37" t="s">
        <v>22</v>
      </c>
      <c r="D72" s="35">
        <v>27</v>
      </c>
      <c r="E72" s="35">
        <v>5000</v>
      </c>
      <c r="F72" s="35">
        <v>8</v>
      </c>
      <c r="G72" s="37">
        <v>2</v>
      </c>
      <c r="H72" s="33" t="s">
        <v>199</v>
      </c>
      <c r="I72" s="33">
        <v>5</v>
      </c>
      <c r="J72" s="33">
        <v>4</v>
      </c>
      <c r="K72" s="33" t="s">
        <v>275</v>
      </c>
      <c r="L72" s="33" t="s">
        <v>155</v>
      </c>
      <c r="M72" s="43" t="s">
        <v>256</v>
      </c>
      <c r="N72" s="35">
        <v>2.9999999999999997E-4</v>
      </c>
      <c r="O72" s="51">
        <v>0.49000000000000909</v>
      </c>
      <c r="P72" s="51">
        <v>0.49000000000000909</v>
      </c>
      <c r="Q72" s="64">
        <v>1</v>
      </c>
      <c r="R72" s="76">
        <v>3.754695829094608</v>
      </c>
      <c r="S72" s="76">
        <v>3.754695829094608</v>
      </c>
      <c r="T72" s="66">
        <v>3.413132926415734</v>
      </c>
      <c r="U72" s="67">
        <f t="shared" si="2"/>
        <v>3.5839143777551712</v>
      </c>
      <c r="V72" s="66">
        <v>3.5838517773306502</v>
      </c>
    </row>
    <row r="73" spans="1:22">
      <c r="A73" s="33" t="s">
        <v>88</v>
      </c>
      <c r="B73" s="37" t="s">
        <v>82</v>
      </c>
      <c r="C73" s="37" t="s">
        <v>22</v>
      </c>
      <c r="D73" s="35">
        <v>27</v>
      </c>
      <c r="E73" s="35">
        <v>5000</v>
      </c>
      <c r="F73" s="35">
        <v>8</v>
      </c>
      <c r="G73" s="37">
        <v>2</v>
      </c>
      <c r="H73" s="33" t="s">
        <v>199</v>
      </c>
      <c r="I73" s="33">
        <v>6</v>
      </c>
      <c r="J73" s="33">
        <v>5</v>
      </c>
      <c r="K73" s="33" t="s">
        <v>275</v>
      </c>
      <c r="L73" s="33" t="s">
        <v>154</v>
      </c>
      <c r="M73" s="43" t="s">
        <v>256</v>
      </c>
      <c r="N73" s="35">
        <v>0</v>
      </c>
      <c r="O73" s="51">
        <v>3.1299999999998818</v>
      </c>
      <c r="P73" s="51">
        <v>3.1299999999998818</v>
      </c>
      <c r="Q73" s="64">
        <v>1</v>
      </c>
      <c r="R73" s="76">
        <v>3.9354098303911389</v>
      </c>
      <c r="S73" s="76">
        <v>3.9354098303911389</v>
      </c>
      <c r="T73" s="66">
        <v>3.5432087798133431</v>
      </c>
      <c r="U73" s="67">
        <f t="shared" si="2"/>
        <v>3.7393093051022408</v>
      </c>
      <c r="V73" s="66">
        <v>3.7369591492234981</v>
      </c>
    </row>
    <row r="74" spans="1:22">
      <c r="A74" s="33" t="s">
        <v>88</v>
      </c>
      <c r="B74" s="37" t="s">
        <v>82</v>
      </c>
      <c r="C74" s="37" t="s">
        <v>14</v>
      </c>
      <c r="D74" s="35">
        <v>27</v>
      </c>
      <c r="E74" s="35">
        <v>5000</v>
      </c>
      <c r="F74" s="35">
        <v>8</v>
      </c>
      <c r="G74" s="37">
        <v>3</v>
      </c>
      <c r="H74" s="33" t="s">
        <v>194</v>
      </c>
      <c r="I74" s="33">
        <v>1</v>
      </c>
      <c r="J74" s="33">
        <v>1</v>
      </c>
      <c r="K74" s="33" t="s">
        <v>275</v>
      </c>
      <c r="L74" s="33" t="s">
        <v>153</v>
      </c>
      <c r="M74" s="43" t="s">
        <v>284</v>
      </c>
      <c r="N74" s="35">
        <v>0</v>
      </c>
      <c r="O74" s="51">
        <v>1.664999999999992</v>
      </c>
      <c r="P74" s="51">
        <v>1.664999999999992</v>
      </c>
      <c r="Q74" s="64">
        <v>1</v>
      </c>
      <c r="R74" s="76">
        <v>4.1972469839142086</v>
      </c>
      <c r="S74" s="76">
        <v>4.1972469839142086</v>
      </c>
      <c r="T74" s="66">
        <v>3.9924921061471279</v>
      </c>
      <c r="U74" s="67">
        <f t="shared" si="2"/>
        <v>4.0948695450306687</v>
      </c>
      <c r="V74" s="66">
        <v>4.0949520319786812</v>
      </c>
    </row>
    <row r="75" spans="1:22">
      <c r="A75" s="33" t="s">
        <v>88</v>
      </c>
      <c r="B75" s="37" t="s">
        <v>82</v>
      </c>
      <c r="C75" s="37" t="s">
        <v>14</v>
      </c>
      <c r="D75" s="35">
        <v>27</v>
      </c>
      <c r="E75" s="35">
        <v>5000</v>
      </c>
      <c r="F75" s="35">
        <v>8</v>
      </c>
      <c r="G75" s="37">
        <v>3</v>
      </c>
      <c r="H75" s="33" t="s">
        <v>194</v>
      </c>
      <c r="I75" s="33">
        <v>2</v>
      </c>
      <c r="J75" s="33">
        <v>2</v>
      </c>
      <c r="K75" s="33" t="s">
        <v>276</v>
      </c>
      <c r="L75" s="33" t="s">
        <v>154</v>
      </c>
      <c r="M75" s="43" t="s">
        <v>284</v>
      </c>
      <c r="N75" s="35">
        <v>0</v>
      </c>
      <c r="O75" s="51">
        <v>0.37700000000006639</v>
      </c>
      <c r="P75" s="51">
        <v>0.37700000000006639</v>
      </c>
      <c r="Q75" s="64">
        <v>1</v>
      </c>
      <c r="R75" s="76">
        <v>4.1121927506775062</v>
      </c>
      <c r="S75" s="76">
        <v>4.1121927506775062</v>
      </c>
      <c r="T75" s="66">
        <v>3.9444212678936612</v>
      </c>
      <c r="U75" s="67">
        <f t="shared" si="2"/>
        <v>4.0283070092855837</v>
      </c>
      <c r="V75" s="66">
        <v>4.0267276695768972</v>
      </c>
    </row>
    <row r="76" spans="1:22">
      <c r="A76" s="33" t="s">
        <v>88</v>
      </c>
      <c r="B76" s="37" t="s">
        <v>82</v>
      </c>
      <c r="C76" s="37" t="s">
        <v>14</v>
      </c>
      <c r="D76" s="35">
        <v>27</v>
      </c>
      <c r="E76" s="35">
        <v>5000</v>
      </c>
      <c r="F76" s="35">
        <v>8</v>
      </c>
      <c r="G76" s="37">
        <v>3</v>
      </c>
      <c r="H76" s="33" t="s">
        <v>194</v>
      </c>
      <c r="I76" s="33">
        <v>3</v>
      </c>
      <c r="J76" s="33">
        <v>3</v>
      </c>
      <c r="K76" s="33" t="s">
        <v>276</v>
      </c>
      <c r="L76" s="33" t="s">
        <v>155</v>
      </c>
      <c r="M76" s="43" t="s">
        <v>245</v>
      </c>
      <c r="N76" s="35">
        <v>0</v>
      </c>
      <c r="O76" s="51">
        <v>-0.45000000000004547</v>
      </c>
      <c r="P76" s="51">
        <v>-0.45000000000004547</v>
      </c>
      <c r="Q76" s="64">
        <v>1</v>
      </c>
      <c r="R76" s="76">
        <v>4.1413816278284363</v>
      </c>
      <c r="S76" s="76">
        <v>4.1413816278284363</v>
      </c>
      <c r="T76" s="66">
        <v>3.89608813559322</v>
      </c>
      <c r="U76" s="67">
        <f t="shared" si="2"/>
        <v>4.0187348817108282</v>
      </c>
      <c r="V76" s="66">
        <v>4.0186793969849246</v>
      </c>
    </row>
    <row r="77" spans="1:22">
      <c r="A77" s="33" t="s">
        <v>88</v>
      </c>
      <c r="B77" s="37" t="s">
        <v>82</v>
      </c>
      <c r="C77" s="37" t="s">
        <v>14</v>
      </c>
      <c r="D77" s="35">
        <v>27</v>
      </c>
      <c r="E77" s="35">
        <v>5000</v>
      </c>
      <c r="F77" s="35">
        <v>8</v>
      </c>
      <c r="G77" s="37">
        <v>3</v>
      </c>
      <c r="H77" s="33" t="s">
        <v>194</v>
      </c>
      <c r="I77" s="33">
        <v>4</v>
      </c>
      <c r="J77" s="33"/>
      <c r="K77" s="33" t="s">
        <v>275</v>
      </c>
      <c r="L77" s="33" t="s">
        <v>156</v>
      </c>
      <c r="M77" s="43" t="s">
        <v>245</v>
      </c>
      <c r="N77" s="35">
        <v>0</v>
      </c>
      <c r="O77" s="51"/>
      <c r="P77" s="51"/>
      <c r="Q77" s="64"/>
      <c r="R77" s="76">
        <v>4.1680772833723658</v>
      </c>
      <c r="S77" s="76">
        <v>4.1680772833723658</v>
      </c>
      <c r="T77" s="66">
        <v>3.9110638655462191</v>
      </c>
      <c r="U77" s="67">
        <f t="shared" si="2"/>
        <v>4.039570574459292</v>
      </c>
      <c r="V77" s="66">
        <v>4.0398084610259826</v>
      </c>
    </row>
    <row r="78" spans="1:22">
      <c r="A78" s="33" t="s">
        <v>88</v>
      </c>
      <c r="B78" s="37" t="s">
        <v>82</v>
      </c>
      <c r="C78" s="37" t="s">
        <v>14</v>
      </c>
      <c r="D78" s="35">
        <v>27</v>
      </c>
      <c r="E78" s="35">
        <v>5000</v>
      </c>
      <c r="F78" s="35">
        <v>8</v>
      </c>
      <c r="G78" s="37">
        <v>3</v>
      </c>
      <c r="H78" s="33" t="s">
        <v>194</v>
      </c>
      <c r="I78" s="33">
        <v>5</v>
      </c>
      <c r="J78" s="33">
        <v>4</v>
      </c>
      <c r="K78" s="33" t="s">
        <v>276</v>
      </c>
      <c r="L78" s="33" t="s">
        <v>157</v>
      </c>
      <c r="M78" s="43" t="s">
        <v>245</v>
      </c>
      <c r="N78" s="35">
        <v>0</v>
      </c>
      <c r="O78" s="51">
        <v>2.5340000000001055</v>
      </c>
      <c r="P78" s="51">
        <v>2.5340000000001055</v>
      </c>
      <c r="Q78" s="64">
        <v>1</v>
      </c>
      <c r="R78" s="76">
        <v>4.153829071332436</v>
      </c>
      <c r="S78" s="76">
        <v>4.153829071332436</v>
      </c>
      <c r="T78" s="66">
        <v>3.889176788124157</v>
      </c>
      <c r="U78" s="67">
        <f t="shared" si="2"/>
        <v>4.021502929728296</v>
      </c>
      <c r="V78" s="66">
        <v>4.0217584363514884</v>
      </c>
    </row>
    <row r="79" spans="1:22">
      <c r="A79" s="33" t="s">
        <v>88</v>
      </c>
      <c r="B79" s="37" t="s">
        <v>82</v>
      </c>
      <c r="C79" s="37" t="s">
        <v>14</v>
      </c>
      <c r="D79" s="35">
        <v>27</v>
      </c>
      <c r="E79" s="35">
        <v>5000</v>
      </c>
      <c r="F79" s="35">
        <v>8</v>
      </c>
      <c r="G79" s="37">
        <v>3</v>
      </c>
      <c r="H79" s="33" t="s">
        <v>194</v>
      </c>
      <c r="I79" s="33">
        <v>6</v>
      </c>
      <c r="J79" s="33">
        <v>5</v>
      </c>
      <c r="K79" s="33" t="s">
        <v>275</v>
      </c>
      <c r="L79" s="33" t="s">
        <v>158</v>
      </c>
      <c r="M79" s="43" t="s">
        <v>245</v>
      </c>
      <c r="N79" s="35">
        <v>0</v>
      </c>
      <c r="O79" s="51">
        <v>1.2599999999999909</v>
      </c>
      <c r="P79" s="51">
        <v>1.2599999999999909</v>
      </c>
      <c r="Q79" s="64">
        <v>1</v>
      </c>
      <c r="R79" s="76">
        <v>4.2020656786796904</v>
      </c>
      <c r="S79" s="76">
        <v>4.2020656786796904</v>
      </c>
      <c r="T79" s="66">
        <v>3.9442014900101592</v>
      </c>
      <c r="U79" s="67">
        <f t="shared" si="2"/>
        <v>4.0731335843449248</v>
      </c>
      <c r="V79" s="66">
        <v>4.0730581550802141</v>
      </c>
    </row>
    <row r="80" spans="1:22">
      <c r="A80" s="33" t="s">
        <v>106</v>
      </c>
      <c r="B80" s="37" t="s">
        <v>66</v>
      </c>
      <c r="C80" s="37" t="s">
        <v>14</v>
      </c>
      <c r="D80" s="35">
        <v>23</v>
      </c>
      <c r="E80" s="35">
        <v>10000</v>
      </c>
      <c r="F80" s="35">
        <v>4</v>
      </c>
      <c r="G80" s="37">
        <v>1</v>
      </c>
      <c r="H80" s="33" t="s">
        <v>197</v>
      </c>
      <c r="I80" s="33">
        <v>1</v>
      </c>
      <c r="J80" s="33">
        <v>1</v>
      </c>
      <c r="K80" s="33" t="s">
        <v>275</v>
      </c>
      <c r="L80" s="33" t="s">
        <v>154</v>
      </c>
      <c r="M80" s="43" t="s">
        <v>336</v>
      </c>
      <c r="N80" s="35">
        <v>0</v>
      </c>
      <c r="O80" s="51">
        <v>2.6259999999999764</v>
      </c>
      <c r="P80" s="51">
        <v>2.6259999999999764</v>
      </c>
      <c r="Q80" s="64">
        <v>1</v>
      </c>
      <c r="R80" s="76">
        <v>3.625565217391304</v>
      </c>
      <c r="S80" s="76">
        <v>3.625565217391304</v>
      </c>
      <c r="T80" s="66">
        <v>3.7385657946114801</v>
      </c>
      <c r="U80" s="67">
        <f t="shared" si="2"/>
        <v>3.682065506001392</v>
      </c>
      <c r="V80" s="66">
        <v>3.664183088987385</v>
      </c>
    </row>
    <row r="81" spans="1:22">
      <c r="A81" s="33" t="s">
        <v>106</v>
      </c>
      <c r="B81" s="37" t="s">
        <v>66</v>
      </c>
      <c r="C81" s="37" t="s">
        <v>14</v>
      </c>
      <c r="D81" s="35">
        <v>23</v>
      </c>
      <c r="E81" s="35">
        <v>10000</v>
      </c>
      <c r="F81" s="35">
        <v>4</v>
      </c>
      <c r="G81" s="37">
        <v>1</v>
      </c>
      <c r="H81" s="33" t="s">
        <v>197</v>
      </c>
      <c r="I81" s="33">
        <v>2</v>
      </c>
      <c r="J81" s="33">
        <v>2</v>
      </c>
      <c r="K81" s="33" t="s">
        <v>276</v>
      </c>
      <c r="L81" s="33" t="s">
        <v>155</v>
      </c>
      <c r="M81" s="43" t="s">
        <v>336</v>
      </c>
      <c r="N81" s="35">
        <v>0</v>
      </c>
      <c r="O81" s="51">
        <v>1.7019999999999982</v>
      </c>
      <c r="P81" s="51">
        <v>1.7019999999999982</v>
      </c>
      <c r="Q81" s="64">
        <v>1</v>
      </c>
      <c r="R81" s="76">
        <v>3.6394426596936871</v>
      </c>
      <c r="S81" s="76">
        <v>3.6394426596936871</v>
      </c>
      <c r="T81" s="66">
        <v>3.7346530434782612</v>
      </c>
      <c r="U81" s="67">
        <f t="shared" si="2"/>
        <v>3.6870478515859739</v>
      </c>
      <c r="V81" s="66">
        <v>3.6719375223134589</v>
      </c>
    </row>
    <row r="82" spans="1:22">
      <c r="A82" s="33" t="s">
        <v>106</v>
      </c>
      <c r="B82" s="37" t="s">
        <v>66</v>
      </c>
      <c r="C82" s="37" t="s">
        <v>14</v>
      </c>
      <c r="D82" s="35">
        <v>23</v>
      </c>
      <c r="E82" s="35">
        <v>10000</v>
      </c>
      <c r="F82" s="35">
        <v>4</v>
      </c>
      <c r="G82" s="37">
        <v>1</v>
      </c>
      <c r="H82" s="33" t="s">
        <v>197</v>
      </c>
      <c r="I82" s="33">
        <v>3</v>
      </c>
      <c r="J82" s="33">
        <v>3</v>
      </c>
      <c r="K82" s="33" t="s">
        <v>275</v>
      </c>
      <c r="L82" s="33" t="s">
        <v>158</v>
      </c>
      <c r="M82" s="43" t="s">
        <v>336</v>
      </c>
      <c r="N82" s="35">
        <v>0</v>
      </c>
      <c r="O82" s="51">
        <v>2.1599999999999682</v>
      </c>
      <c r="P82" s="51">
        <v>2.1599999999999682</v>
      </c>
      <c r="Q82" s="64">
        <v>1</v>
      </c>
      <c r="R82" s="76">
        <v>3.714113271028038</v>
      </c>
      <c r="S82" s="76">
        <v>3.714113271028038</v>
      </c>
      <c r="T82" s="66">
        <v>3.7790726513569939</v>
      </c>
      <c r="U82" s="67">
        <f t="shared" si="2"/>
        <v>3.7465929611925159</v>
      </c>
      <c r="V82" s="66">
        <v>3.7256370318515928</v>
      </c>
    </row>
    <row r="83" spans="1:22">
      <c r="A83" s="33" t="s">
        <v>106</v>
      </c>
      <c r="B83" s="37" t="s">
        <v>66</v>
      </c>
      <c r="C83" s="37" t="s">
        <v>14</v>
      </c>
      <c r="D83" s="35">
        <v>23</v>
      </c>
      <c r="E83" s="35">
        <v>10000</v>
      </c>
      <c r="F83" s="35">
        <v>4</v>
      </c>
      <c r="G83" s="37">
        <v>1</v>
      </c>
      <c r="H83" s="33" t="s">
        <v>197</v>
      </c>
      <c r="I83" s="33">
        <v>4</v>
      </c>
      <c r="J83" s="33">
        <v>4</v>
      </c>
      <c r="K83" s="33" t="s">
        <v>276</v>
      </c>
      <c r="L83" s="33" t="s">
        <v>157</v>
      </c>
      <c r="M83" s="43" t="s">
        <v>336</v>
      </c>
      <c r="N83" s="35">
        <v>0</v>
      </c>
      <c r="O83" s="51" t="s">
        <v>395</v>
      </c>
      <c r="P83" s="51"/>
      <c r="Q83" s="64">
        <v>0</v>
      </c>
      <c r="R83" s="76">
        <v>3.584129504102747</v>
      </c>
      <c r="S83" s="76">
        <v>3.584129504102747</v>
      </c>
      <c r="T83" s="66">
        <v>3.7368506172839511</v>
      </c>
      <c r="U83" s="67">
        <f t="shared" si="2"/>
        <v>3.6604900606933493</v>
      </c>
      <c r="V83" s="66">
        <v>3.6400798073615408</v>
      </c>
    </row>
    <row r="84" spans="1:22">
      <c r="A84" s="33" t="s">
        <v>106</v>
      </c>
      <c r="B84" s="37" t="s">
        <v>66</v>
      </c>
      <c r="C84" s="37" t="s">
        <v>14</v>
      </c>
      <c r="D84" s="35">
        <v>23</v>
      </c>
      <c r="E84" s="35">
        <v>10000</v>
      </c>
      <c r="F84" s="35">
        <v>4</v>
      </c>
      <c r="G84" s="37">
        <v>1</v>
      </c>
      <c r="H84" s="33" t="s">
        <v>197</v>
      </c>
      <c r="I84" s="33">
        <v>5</v>
      </c>
      <c r="J84" s="33"/>
      <c r="K84" s="33" t="s">
        <v>276</v>
      </c>
      <c r="L84" s="33" t="s">
        <v>156</v>
      </c>
      <c r="M84" s="43" t="s">
        <v>336</v>
      </c>
      <c r="N84" s="35">
        <v>0</v>
      </c>
      <c r="O84" s="51"/>
      <c r="P84" s="51"/>
      <c r="Q84" s="64"/>
      <c r="R84" s="76">
        <v>3.625454545454545</v>
      </c>
      <c r="S84" s="76">
        <v>3.625454545454545</v>
      </c>
      <c r="T84" s="66">
        <v>3.7347224770642198</v>
      </c>
      <c r="U84" s="67">
        <f t="shared" si="2"/>
        <v>3.6800885112593824</v>
      </c>
      <c r="V84" s="66">
        <v>3.6645188979159302</v>
      </c>
    </row>
    <row r="85" spans="1:22">
      <c r="A85" s="33" t="s">
        <v>106</v>
      </c>
      <c r="B85" s="37" t="s">
        <v>66</v>
      </c>
      <c r="C85" s="37" t="s">
        <v>14</v>
      </c>
      <c r="D85" s="35">
        <v>23</v>
      </c>
      <c r="E85" s="35">
        <v>10000</v>
      </c>
      <c r="F85" s="35">
        <v>4</v>
      </c>
      <c r="G85" s="37">
        <v>1</v>
      </c>
      <c r="H85" s="33" t="s">
        <v>197</v>
      </c>
      <c r="I85" s="33">
        <v>6</v>
      </c>
      <c r="J85" s="33">
        <v>5</v>
      </c>
      <c r="K85" s="33" t="s">
        <v>275</v>
      </c>
      <c r="L85" s="33" t="s">
        <v>153</v>
      </c>
      <c r="M85" s="43" t="s">
        <v>336</v>
      </c>
      <c r="N85" s="35">
        <v>0</v>
      </c>
      <c r="O85" s="51">
        <v>1.2580000000000382</v>
      </c>
      <c r="P85" s="51">
        <v>1.2580000000000382</v>
      </c>
      <c r="Q85" s="64">
        <v>1</v>
      </c>
      <c r="R85" s="76">
        <v>3.5785670995671</v>
      </c>
      <c r="S85" s="76">
        <v>3.5785670995671</v>
      </c>
      <c r="T85" s="66">
        <v>3.747176337603618</v>
      </c>
      <c r="U85" s="67">
        <f t="shared" si="2"/>
        <v>3.6628717185853592</v>
      </c>
      <c r="V85" s="66">
        <v>3.640610580204779</v>
      </c>
    </row>
    <row r="86" spans="1:22">
      <c r="A86" s="33" t="s">
        <v>106</v>
      </c>
      <c r="B86" s="37" t="s">
        <v>66</v>
      </c>
      <c r="C86" s="37" t="s">
        <v>22</v>
      </c>
      <c r="D86" s="35">
        <v>23</v>
      </c>
      <c r="E86" s="35">
        <v>10000</v>
      </c>
      <c r="F86" s="35">
        <v>4</v>
      </c>
      <c r="G86" s="37">
        <v>2</v>
      </c>
      <c r="H86" s="33" t="s">
        <v>199</v>
      </c>
      <c r="I86" s="33">
        <v>1</v>
      </c>
      <c r="J86" s="33"/>
      <c r="K86" s="33" t="s">
        <v>276</v>
      </c>
      <c r="L86" s="33" t="s">
        <v>156</v>
      </c>
      <c r="M86" s="43" t="s">
        <v>337</v>
      </c>
      <c r="N86" s="35">
        <v>0</v>
      </c>
      <c r="O86" s="51"/>
      <c r="P86" s="51"/>
      <c r="Q86" s="64"/>
      <c r="R86" s="76">
        <v>3.7337456799398949</v>
      </c>
      <c r="S86" s="76">
        <v>3.7337456799398949</v>
      </c>
      <c r="T86" s="66">
        <v>3.731571646923959</v>
      </c>
      <c r="U86" s="67">
        <f t="shared" si="2"/>
        <v>3.732658663431927</v>
      </c>
      <c r="V86" s="66">
        <v>3.7190493385770469</v>
      </c>
    </row>
    <row r="87" spans="1:22">
      <c r="A87" s="33" t="s">
        <v>106</v>
      </c>
      <c r="B87" s="37" t="s">
        <v>66</v>
      </c>
      <c r="C87" s="37" t="s">
        <v>22</v>
      </c>
      <c r="D87" s="35">
        <v>23</v>
      </c>
      <c r="E87" s="35">
        <v>10000</v>
      </c>
      <c r="F87" s="35">
        <v>4</v>
      </c>
      <c r="G87" s="37">
        <v>2</v>
      </c>
      <c r="H87" s="33" t="s">
        <v>199</v>
      </c>
      <c r="I87" s="33">
        <v>2</v>
      </c>
      <c r="J87" s="33">
        <v>1</v>
      </c>
      <c r="K87" s="33" t="s">
        <v>275</v>
      </c>
      <c r="L87" s="33" t="s">
        <v>157</v>
      </c>
      <c r="M87" s="43" t="s">
        <v>337</v>
      </c>
      <c r="N87" s="35">
        <v>0</v>
      </c>
      <c r="O87" s="51">
        <v>10.069999999999993</v>
      </c>
      <c r="P87" s="51">
        <v>10.069999999999993</v>
      </c>
      <c r="Q87" s="64">
        <v>1</v>
      </c>
      <c r="R87" s="76">
        <v>3.7254761188416698</v>
      </c>
      <c r="S87" s="76">
        <v>3.7254761188416698</v>
      </c>
      <c r="T87" s="66">
        <v>3.7345292801193581</v>
      </c>
      <c r="U87" s="67">
        <f t="shared" si="2"/>
        <v>3.7300026994805142</v>
      </c>
      <c r="V87" s="66">
        <v>3.715736692689851</v>
      </c>
    </row>
    <row r="88" spans="1:22">
      <c r="A88" s="33" t="s">
        <v>106</v>
      </c>
      <c r="B88" s="37" t="s">
        <v>66</v>
      </c>
      <c r="C88" s="37" t="s">
        <v>22</v>
      </c>
      <c r="D88" s="35">
        <v>23</v>
      </c>
      <c r="E88" s="35">
        <v>10000</v>
      </c>
      <c r="F88" s="35">
        <v>4</v>
      </c>
      <c r="G88" s="37">
        <v>2</v>
      </c>
      <c r="H88" s="33" t="s">
        <v>199</v>
      </c>
      <c r="I88" s="33">
        <v>3</v>
      </c>
      <c r="J88" s="33">
        <v>2</v>
      </c>
      <c r="K88" s="33" t="s">
        <v>276</v>
      </c>
      <c r="L88" s="33" t="s">
        <v>153</v>
      </c>
      <c r="M88" s="43" t="s">
        <v>231</v>
      </c>
      <c r="N88" s="35">
        <v>0</v>
      </c>
      <c r="O88" s="51">
        <v>7.5600000000000591</v>
      </c>
      <c r="P88" s="51">
        <v>7.5600000000000591</v>
      </c>
      <c r="Q88" s="64">
        <v>1</v>
      </c>
      <c r="R88" s="76">
        <v>3.5334263679764968</v>
      </c>
      <c r="S88" s="76">
        <v>3.5334263679764968</v>
      </c>
      <c r="T88" s="66">
        <v>3.6046862745098038</v>
      </c>
      <c r="U88" s="67">
        <f t="shared" si="2"/>
        <v>3.5690563212431501</v>
      </c>
      <c r="V88" s="66">
        <v>3.559075211864406</v>
      </c>
    </row>
    <row r="89" spans="1:22">
      <c r="A89" s="33" t="s">
        <v>106</v>
      </c>
      <c r="B89" s="37" t="s">
        <v>66</v>
      </c>
      <c r="C89" s="37" t="s">
        <v>22</v>
      </c>
      <c r="D89" s="35">
        <v>23</v>
      </c>
      <c r="E89" s="35">
        <v>10000</v>
      </c>
      <c r="F89" s="35">
        <v>4</v>
      </c>
      <c r="G89" s="37">
        <v>2</v>
      </c>
      <c r="H89" s="33" t="s">
        <v>199</v>
      </c>
      <c r="I89" s="33">
        <v>4</v>
      </c>
      <c r="J89" s="33">
        <v>3</v>
      </c>
      <c r="K89" s="33" t="s">
        <v>276</v>
      </c>
      <c r="L89" s="33" t="s">
        <v>158</v>
      </c>
      <c r="M89" s="43" t="s">
        <v>231</v>
      </c>
      <c r="N89" s="35">
        <v>0</v>
      </c>
      <c r="O89" s="51">
        <v>2.1499999999999773</v>
      </c>
      <c r="P89" s="51">
        <v>2.1499999999999773</v>
      </c>
      <c r="Q89" s="64">
        <v>1</v>
      </c>
      <c r="R89" s="76">
        <v>3.631098991408293</v>
      </c>
      <c r="S89" s="76">
        <v>3.631098991408293</v>
      </c>
      <c r="T89" s="66">
        <v>3.6672677514792911</v>
      </c>
      <c r="U89" s="67">
        <f t="shared" ref="U89:U120" si="3">AVERAGE(S89:T89)</f>
        <v>3.649183371443792</v>
      </c>
      <c r="V89" s="66">
        <v>3.640033037300177</v>
      </c>
    </row>
    <row r="90" spans="1:22">
      <c r="A90" s="33" t="s">
        <v>106</v>
      </c>
      <c r="B90" s="37" t="s">
        <v>66</v>
      </c>
      <c r="C90" s="37" t="s">
        <v>22</v>
      </c>
      <c r="D90" s="35">
        <v>23</v>
      </c>
      <c r="E90" s="35">
        <v>10000</v>
      </c>
      <c r="F90" s="35">
        <v>4</v>
      </c>
      <c r="G90" s="37">
        <v>2</v>
      </c>
      <c r="H90" s="33" t="s">
        <v>199</v>
      </c>
      <c r="I90" s="33">
        <v>5</v>
      </c>
      <c r="J90" s="33">
        <v>4</v>
      </c>
      <c r="K90" s="33" t="s">
        <v>275</v>
      </c>
      <c r="L90" s="33" t="s">
        <v>155</v>
      </c>
      <c r="M90" s="43" t="s">
        <v>231</v>
      </c>
      <c r="N90" s="35">
        <v>0</v>
      </c>
      <c r="O90" s="51">
        <v>2.3300000000000409</v>
      </c>
      <c r="P90" s="51">
        <v>2.3300000000000409</v>
      </c>
      <c r="Q90" s="64">
        <v>1</v>
      </c>
      <c r="R90" s="76">
        <v>3.6538981060606059</v>
      </c>
      <c r="S90" s="76">
        <v>3.6538981060606059</v>
      </c>
      <c r="T90" s="66">
        <v>3.6749816733067728</v>
      </c>
      <c r="U90" s="67">
        <f t="shared" si="3"/>
        <v>3.6644398896836892</v>
      </c>
      <c r="V90" s="66">
        <v>3.664770931496919</v>
      </c>
    </row>
    <row r="91" spans="1:22">
      <c r="A91" s="33" t="s">
        <v>106</v>
      </c>
      <c r="B91" s="37" t="s">
        <v>66</v>
      </c>
      <c r="C91" s="37" t="s">
        <v>22</v>
      </c>
      <c r="D91" s="35">
        <v>23</v>
      </c>
      <c r="E91" s="35">
        <v>10000</v>
      </c>
      <c r="F91" s="35">
        <v>4</v>
      </c>
      <c r="G91" s="37">
        <v>2</v>
      </c>
      <c r="H91" s="33" t="s">
        <v>199</v>
      </c>
      <c r="I91" s="33">
        <v>6</v>
      </c>
      <c r="J91" s="33">
        <v>5</v>
      </c>
      <c r="K91" s="33" t="s">
        <v>275</v>
      </c>
      <c r="L91" s="33" t="s">
        <v>154</v>
      </c>
      <c r="M91" s="43" t="s">
        <v>231</v>
      </c>
      <c r="N91" s="35">
        <v>0</v>
      </c>
      <c r="O91" s="51">
        <v>3.9600000000000364</v>
      </c>
      <c r="P91" s="51">
        <v>3.9600000000000364</v>
      </c>
      <c r="Q91" s="64">
        <v>1</v>
      </c>
      <c r="R91" s="76">
        <v>3.6343589648798522</v>
      </c>
      <c r="S91" s="76">
        <v>3.6343589648798522</v>
      </c>
      <c r="T91" s="66">
        <v>3.6836705667276051</v>
      </c>
      <c r="U91" s="67">
        <f t="shared" si="3"/>
        <v>3.6590147658037289</v>
      </c>
      <c r="V91" s="66">
        <v>3.6468982517482522</v>
      </c>
    </row>
    <row r="92" spans="1:22">
      <c r="A92" s="33" t="s">
        <v>106</v>
      </c>
      <c r="B92" s="37" t="s">
        <v>66</v>
      </c>
      <c r="C92" s="37" t="s">
        <v>21</v>
      </c>
      <c r="D92" s="35">
        <v>23</v>
      </c>
      <c r="E92" s="35">
        <v>10000</v>
      </c>
      <c r="F92" s="35">
        <v>4</v>
      </c>
      <c r="G92" s="37">
        <v>3</v>
      </c>
      <c r="H92" s="33" t="s">
        <v>194</v>
      </c>
      <c r="I92" s="33">
        <v>1</v>
      </c>
      <c r="J92" s="33">
        <v>1</v>
      </c>
      <c r="K92" s="33" t="s">
        <v>275</v>
      </c>
      <c r="L92" s="33" t="s">
        <v>153</v>
      </c>
      <c r="M92" s="43" t="s">
        <v>338</v>
      </c>
      <c r="N92" s="35">
        <v>0</v>
      </c>
      <c r="O92" s="51" t="s">
        <v>394</v>
      </c>
      <c r="P92" s="51" t="s">
        <v>394</v>
      </c>
      <c r="Q92" s="64" t="s">
        <v>274</v>
      </c>
      <c r="R92" s="76">
        <v>3.9491219302024989</v>
      </c>
      <c r="S92" s="76">
        <v>3.9491219302024989</v>
      </c>
      <c r="T92" s="66">
        <v>3.9292192262602579</v>
      </c>
      <c r="U92" s="67">
        <f t="shared" si="3"/>
        <v>3.9391705782313782</v>
      </c>
      <c r="V92" s="66">
        <v>3.9319893491124258</v>
      </c>
    </row>
    <row r="93" spans="1:22">
      <c r="A93" s="33" t="s">
        <v>106</v>
      </c>
      <c r="B93" s="37" t="s">
        <v>66</v>
      </c>
      <c r="C93" s="37" t="s">
        <v>21</v>
      </c>
      <c r="D93" s="35">
        <v>23</v>
      </c>
      <c r="E93" s="35">
        <v>10000</v>
      </c>
      <c r="F93" s="35">
        <v>4</v>
      </c>
      <c r="G93" s="37">
        <v>3</v>
      </c>
      <c r="H93" s="33" t="s">
        <v>194</v>
      </c>
      <c r="I93" s="33">
        <v>2</v>
      </c>
      <c r="J93" s="33">
        <v>2</v>
      </c>
      <c r="K93" s="33" t="s">
        <v>276</v>
      </c>
      <c r="L93" s="33" t="s">
        <v>154</v>
      </c>
      <c r="M93" s="43" t="s">
        <v>338</v>
      </c>
      <c r="N93" s="35">
        <v>0</v>
      </c>
      <c r="O93" s="51" t="s">
        <v>394</v>
      </c>
      <c r="P93" s="51" t="s">
        <v>394</v>
      </c>
      <c r="Q93" s="64" t="s">
        <v>274</v>
      </c>
      <c r="R93" s="76">
        <v>3.7670162729658792</v>
      </c>
      <c r="S93" s="76">
        <v>3.7670162729658792</v>
      </c>
      <c r="T93" s="66">
        <v>3.7828183198380572</v>
      </c>
      <c r="U93" s="67">
        <f t="shared" si="3"/>
        <v>3.7749172964019682</v>
      </c>
      <c r="V93" s="66">
        <v>3.762976148095408</v>
      </c>
    </row>
    <row r="94" spans="1:22">
      <c r="A94" s="33" t="s">
        <v>106</v>
      </c>
      <c r="B94" s="37" t="s">
        <v>66</v>
      </c>
      <c r="C94" s="37" t="s">
        <v>21</v>
      </c>
      <c r="D94" s="35">
        <v>23</v>
      </c>
      <c r="E94" s="35">
        <v>10000</v>
      </c>
      <c r="F94" s="35">
        <v>4</v>
      </c>
      <c r="G94" s="37">
        <v>3</v>
      </c>
      <c r="H94" s="33" t="s">
        <v>194</v>
      </c>
      <c r="I94" s="33">
        <v>3</v>
      </c>
      <c r="J94" s="33">
        <v>3</v>
      </c>
      <c r="K94" s="33" t="s">
        <v>276</v>
      </c>
      <c r="L94" s="33" t="s">
        <v>155</v>
      </c>
      <c r="M94" s="43" t="s">
        <v>252</v>
      </c>
      <c r="N94" s="35">
        <v>0</v>
      </c>
      <c r="O94" s="51" t="s">
        <v>394</v>
      </c>
      <c r="P94" s="51" t="s">
        <v>394</v>
      </c>
      <c r="Q94" s="64" t="s">
        <v>274</v>
      </c>
      <c r="R94" s="76">
        <v>3.83237101910828</v>
      </c>
      <c r="S94" s="76">
        <v>3.83237101910828</v>
      </c>
      <c r="T94" s="66">
        <v>3.7929699217140511</v>
      </c>
      <c r="U94" s="67">
        <f t="shared" si="3"/>
        <v>3.8126704704111658</v>
      </c>
      <c r="V94" s="66">
        <v>3.8094229950319369</v>
      </c>
    </row>
    <row r="95" spans="1:22">
      <c r="A95" s="33" t="s">
        <v>106</v>
      </c>
      <c r="B95" s="37" t="s">
        <v>66</v>
      </c>
      <c r="C95" s="37" t="s">
        <v>21</v>
      </c>
      <c r="D95" s="35">
        <v>23</v>
      </c>
      <c r="E95" s="35">
        <v>10000</v>
      </c>
      <c r="F95" s="35">
        <v>4</v>
      </c>
      <c r="G95" s="37">
        <v>3</v>
      </c>
      <c r="H95" s="33" t="s">
        <v>194</v>
      </c>
      <c r="I95" s="33">
        <v>4</v>
      </c>
      <c r="J95" s="33"/>
      <c r="K95" s="33" t="s">
        <v>275</v>
      </c>
      <c r="L95" s="33" t="s">
        <v>156</v>
      </c>
      <c r="M95" s="43" t="s">
        <v>252</v>
      </c>
      <c r="N95" s="35">
        <v>0</v>
      </c>
      <c r="O95" s="51"/>
      <c r="P95" s="51"/>
      <c r="Q95" s="64"/>
      <c r="R95" s="76">
        <v>3.7457383390216159</v>
      </c>
      <c r="S95" s="76">
        <v>3.7457383390216159</v>
      </c>
      <c r="T95" s="66">
        <v>3.6984454641722562</v>
      </c>
      <c r="U95" s="67">
        <f t="shared" si="3"/>
        <v>3.722091901596936</v>
      </c>
      <c r="V95" s="66">
        <v>3.695464127847671</v>
      </c>
    </row>
    <row r="96" spans="1:22">
      <c r="A96" s="33" t="s">
        <v>106</v>
      </c>
      <c r="B96" s="37" t="s">
        <v>66</v>
      </c>
      <c r="C96" s="37" t="s">
        <v>21</v>
      </c>
      <c r="D96" s="35">
        <v>23</v>
      </c>
      <c r="E96" s="35">
        <v>10000</v>
      </c>
      <c r="F96" s="35">
        <v>4</v>
      </c>
      <c r="G96" s="37">
        <v>3</v>
      </c>
      <c r="H96" s="33" t="s">
        <v>194</v>
      </c>
      <c r="I96" s="33">
        <v>5</v>
      </c>
      <c r="J96" s="33">
        <v>4</v>
      </c>
      <c r="K96" s="33" t="s">
        <v>276</v>
      </c>
      <c r="L96" s="33" t="s">
        <v>157</v>
      </c>
      <c r="M96" s="43" t="s">
        <v>252</v>
      </c>
      <c r="N96" s="35">
        <v>0</v>
      </c>
      <c r="O96" s="51" t="s">
        <v>394</v>
      </c>
      <c r="P96" s="51" t="s">
        <v>394</v>
      </c>
      <c r="Q96" s="64" t="s">
        <v>274</v>
      </c>
      <c r="R96" s="76">
        <v>3.837034132466477</v>
      </c>
      <c r="S96" s="76">
        <v>3.837034132466477</v>
      </c>
      <c r="T96" s="66">
        <v>3.8999874350086658</v>
      </c>
      <c r="U96" s="67">
        <f t="shared" si="3"/>
        <v>3.8685107837375714</v>
      </c>
      <c r="V96" s="66">
        <v>3.856973002159827</v>
      </c>
    </row>
    <row r="97" spans="1:22">
      <c r="A97" s="33" t="s">
        <v>106</v>
      </c>
      <c r="B97" s="37" t="s">
        <v>66</v>
      </c>
      <c r="C97" s="37" t="s">
        <v>21</v>
      </c>
      <c r="D97" s="35">
        <v>23</v>
      </c>
      <c r="E97" s="35">
        <v>10000</v>
      </c>
      <c r="F97" s="35">
        <v>4</v>
      </c>
      <c r="G97" s="37">
        <v>3</v>
      </c>
      <c r="H97" s="33" t="s">
        <v>194</v>
      </c>
      <c r="I97" s="33">
        <v>6</v>
      </c>
      <c r="J97" s="33">
        <v>5</v>
      </c>
      <c r="K97" s="33" t="s">
        <v>275</v>
      </c>
      <c r="L97" s="33" t="s">
        <v>158</v>
      </c>
      <c r="M97" s="43" t="s">
        <v>252</v>
      </c>
      <c r="N97" s="35">
        <v>0</v>
      </c>
      <c r="O97" s="51" t="s">
        <v>394</v>
      </c>
      <c r="P97" s="51" t="s">
        <v>394</v>
      </c>
      <c r="Q97" s="64" t="s">
        <v>274</v>
      </c>
      <c r="R97" s="76">
        <v>3.834001972386587</v>
      </c>
      <c r="S97" s="76">
        <v>3.834001972386587</v>
      </c>
      <c r="T97" s="66">
        <v>3.8217515847860541</v>
      </c>
      <c r="U97" s="67">
        <f t="shared" si="3"/>
        <v>3.8278767785863206</v>
      </c>
      <c r="V97" s="66">
        <v>3.8143011462313301</v>
      </c>
    </row>
    <row r="98" spans="1:22">
      <c r="A98" s="32" t="s">
        <v>89</v>
      </c>
      <c r="B98" s="35" t="s">
        <v>82</v>
      </c>
      <c r="C98" s="35" t="s">
        <v>14</v>
      </c>
      <c r="D98" s="35">
        <v>51</v>
      </c>
      <c r="E98" s="35">
        <v>15000</v>
      </c>
      <c r="F98" s="35">
        <v>33</v>
      </c>
      <c r="G98" s="35">
        <v>1</v>
      </c>
      <c r="H98" s="32" t="s">
        <v>197</v>
      </c>
      <c r="I98" s="32">
        <v>1</v>
      </c>
      <c r="J98" s="32">
        <v>1</v>
      </c>
      <c r="K98" s="32" t="s">
        <v>275</v>
      </c>
      <c r="L98" s="32" t="s">
        <v>154</v>
      </c>
      <c r="M98" s="42" t="s">
        <v>291</v>
      </c>
      <c r="N98" s="35">
        <v>0</v>
      </c>
      <c r="O98" s="51">
        <v>3.603999999999985</v>
      </c>
      <c r="P98" s="51">
        <v>3.603999999999985</v>
      </c>
      <c r="Q98" s="64">
        <v>1</v>
      </c>
      <c r="R98" s="76">
        <v>3.009476149548775</v>
      </c>
      <c r="S98" s="76">
        <v>3.009476149548775</v>
      </c>
      <c r="T98" s="66">
        <v>2.7389923878205131</v>
      </c>
      <c r="U98" s="67">
        <f t="shared" si="3"/>
        <v>2.8742342686846438</v>
      </c>
      <c r="V98" s="66">
        <v>2.854168780831571</v>
      </c>
    </row>
    <row r="99" spans="1:22">
      <c r="A99" s="32" t="s">
        <v>89</v>
      </c>
      <c r="B99" s="35" t="s">
        <v>82</v>
      </c>
      <c r="C99" s="35" t="s">
        <v>14</v>
      </c>
      <c r="D99" s="35">
        <v>51</v>
      </c>
      <c r="E99" s="35">
        <v>15000</v>
      </c>
      <c r="F99" s="35">
        <v>33</v>
      </c>
      <c r="G99" s="35">
        <v>1</v>
      </c>
      <c r="H99" s="32" t="s">
        <v>197</v>
      </c>
      <c r="I99" s="32">
        <v>2</v>
      </c>
      <c r="J99" s="32">
        <v>2</v>
      </c>
      <c r="K99" s="32" t="s">
        <v>276</v>
      </c>
      <c r="L99" s="32" t="s">
        <v>155</v>
      </c>
      <c r="M99" s="42" t="s">
        <v>291</v>
      </c>
      <c r="N99" s="35">
        <v>0</v>
      </c>
      <c r="O99" s="51">
        <v>1.3139999999999645</v>
      </c>
      <c r="P99" s="51">
        <v>1.3139999999999645</v>
      </c>
      <c r="Q99" s="64">
        <v>1</v>
      </c>
      <c r="R99" s="76">
        <v>3.027756793478261</v>
      </c>
      <c r="S99" s="76">
        <v>3.027756793478261</v>
      </c>
      <c r="T99" s="66">
        <v>2.8286334586466171</v>
      </c>
      <c r="U99" s="67">
        <f t="shared" si="3"/>
        <v>2.9281951260624393</v>
      </c>
      <c r="V99" s="66">
        <v>2.9082372025955299</v>
      </c>
    </row>
    <row r="100" spans="1:22">
      <c r="A100" s="32" t="s">
        <v>89</v>
      </c>
      <c r="B100" s="35" t="s">
        <v>82</v>
      </c>
      <c r="C100" s="35" t="s">
        <v>14</v>
      </c>
      <c r="D100" s="35">
        <v>51</v>
      </c>
      <c r="E100" s="35">
        <v>15000</v>
      </c>
      <c r="F100" s="35">
        <v>33</v>
      </c>
      <c r="G100" s="35">
        <v>1</v>
      </c>
      <c r="H100" s="32" t="s">
        <v>197</v>
      </c>
      <c r="I100" s="32">
        <v>3</v>
      </c>
      <c r="J100" s="32">
        <v>3</v>
      </c>
      <c r="K100" s="32" t="s">
        <v>275</v>
      </c>
      <c r="L100" s="32" t="s">
        <v>158</v>
      </c>
      <c r="M100" s="42" t="s">
        <v>291</v>
      </c>
      <c r="N100" s="35">
        <v>0</v>
      </c>
      <c r="O100" s="51">
        <v>2.7950000000000728</v>
      </c>
      <c r="P100" s="51">
        <v>2.7950000000000728</v>
      </c>
      <c r="Q100" s="64">
        <v>1</v>
      </c>
      <c r="R100" s="76">
        <v>2.8823513035793189</v>
      </c>
      <c r="S100" s="76">
        <v>2.8823513035793189</v>
      </c>
      <c r="T100" s="66">
        <v>2.666663641217299</v>
      </c>
      <c r="U100" s="67">
        <f t="shared" si="3"/>
        <v>2.7745074723983087</v>
      </c>
      <c r="V100" s="66">
        <v>2.771531861872552</v>
      </c>
    </row>
    <row r="101" spans="1:22">
      <c r="A101" s="32" t="s">
        <v>89</v>
      </c>
      <c r="B101" s="35" t="s">
        <v>82</v>
      </c>
      <c r="C101" s="35" t="s">
        <v>14</v>
      </c>
      <c r="D101" s="35">
        <v>51</v>
      </c>
      <c r="E101" s="35">
        <v>15000</v>
      </c>
      <c r="F101" s="35">
        <v>33</v>
      </c>
      <c r="G101" s="35">
        <v>1</v>
      </c>
      <c r="H101" s="32" t="s">
        <v>197</v>
      </c>
      <c r="I101" s="32">
        <v>4</v>
      </c>
      <c r="J101" s="32">
        <v>4</v>
      </c>
      <c r="K101" s="32" t="s">
        <v>276</v>
      </c>
      <c r="L101" s="32" t="s">
        <v>157</v>
      </c>
      <c r="M101" s="42" t="s">
        <v>291</v>
      </c>
      <c r="N101" s="35">
        <v>0</v>
      </c>
      <c r="O101" s="51">
        <v>1.1200000000000045</v>
      </c>
      <c r="P101" s="51">
        <v>1.1200000000000045</v>
      </c>
      <c r="Q101" s="64">
        <v>1</v>
      </c>
      <c r="R101" s="76">
        <v>3.1852616054158611</v>
      </c>
      <c r="S101" s="76">
        <v>3.1852616054158611</v>
      </c>
      <c r="T101" s="66">
        <v>2.931210416666667</v>
      </c>
      <c r="U101" s="67">
        <f t="shared" si="3"/>
        <v>3.0582360110412639</v>
      </c>
      <c r="V101" s="66">
        <v>3.0418280510018212</v>
      </c>
    </row>
    <row r="102" spans="1:22">
      <c r="A102" s="32" t="s">
        <v>89</v>
      </c>
      <c r="B102" s="35" t="s">
        <v>82</v>
      </c>
      <c r="C102" s="35" t="s">
        <v>14</v>
      </c>
      <c r="D102" s="35">
        <v>51</v>
      </c>
      <c r="E102" s="35">
        <v>15000</v>
      </c>
      <c r="F102" s="35">
        <v>33</v>
      </c>
      <c r="G102" s="35">
        <v>1</v>
      </c>
      <c r="H102" s="32" t="s">
        <v>197</v>
      </c>
      <c r="I102" s="32">
        <v>5</v>
      </c>
      <c r="K102" s="32" t="s">
        <v>276</v>
      </c>
      <c r="L102" s="32" t="s">
        <v>156</v>
      </c>
      <c r="M102" s="42" t="s">
        <v>291</v>
      </c>
      <c r="N102" s="35">
        <v>0</v>
      </c>
      <c r="O102" s="51"/>
      <c r="P102" s="51"/>
      <c r="Q102" s="64"/>
      <c r="R102" s="76">
        <v>3.0396635742187499</v>
      </c>
      <c r="S102" s="76">
        <v>3.0396635742187499</v>
      </c>
      <c r="T102" s="66">
        <v>2.8103053719008262</v>
      </c>
      <c r="U102" s="67">
        <f t="shared" si="3"/>
        <v>2.924984473059788</v>
      </c>
      <c r="V102" s="66">
        <v>2.9021105822043212</v>
      </c>
    </row>
    <row r="103" spans="1:22">
      <c r="A103" s="32" t="s">
        <v>89</v>
      </c>
      <c r="B103" s="35" t="s">
        <v>82</v>
      </c>
      <c r="C103" s="35" t="s">
        <v>14</v>
      </c>
      <c r="D103" s="35">
        <v>51</v>
      </c>
      <c r="E103" s="35">
        <v>15000</v>
      </c>
      <c r="F103" s="35">
        <v>33</v>
      </c>
      <c r="G103" s="35">
        <v>1</v>
      </c>
      <c r="H103" s="32" t="s">
        <v>197</v>
      </c>
      <c r="I103" s="32">
        <v>6</v>
      </c>
      <c r="J103" s="32">
        <v>5</v>
      </c>
      <c r="K103" s="32" t="s">
        <v>275</v>
      </c>
      <c r="L103" s="32" t="s">
        <v>153</v>
      </c>
      <c r="M103" s="42" t="s">
        <v>291</v>
      </c>
      <c r="N103" s="35">
        <v>0</v>
      </c>
      <c r="O103" s="51">
        <v>6.8550000000000182</v>
      </c>
      <c r="P103" s="51">
        <v>6.8550000000000182</v>
      </c>
      <c r="Q103" s="64">
        <v>1</v>
      </c>
      <c r="R103" s="76">
        <v>3.0145969681129121</v>
      </c>
      <c r="S103" s="76">
        <v>3.0145969681129121</v>
      </c>
      <c r="T103" s="66">
        <v>2.761523499302001</v>
      </c>
      <c r="U103" s="67">
        <f t="shared" si="3"/>
        <v>2.8880602337074563</v>
      </c>
      <c r="V103" s="66">
        <v>2.8670124060150379</v>
      </c>
    </row>
    <row r="104" spans="1:22">
      <c r="A104" s="32" t="s">
        <v>89</v>
      </c>
      <c r="B104" s="35" t="s">
        <v>82</v>
      </c>
      <c r="C104" s="35" t="s">
        <v>21</v>
      </c>
      <c r="D104" s="35">
        <v>51</v>
      </c>
      <c r="E104" s="35">
        <v>15000</v>
      </c>
      <c r="F104" s="35">
        <v>33</v>
      </c>
      <c r="G104" s="35">
        <v>2</v>
      </c>
      <c r="H104" s="32" t="s">
        <v>199</v>
      </c>
      <c r="I104" s="32">
        <v>1</v>
      </c>
      <c r="K104" s="32" t="s">
        <v>276</v>
      </c>
      <c r="L104" s="32" t="s">
        <v>156</v>
      </c>
      <c r="M104" s="42" t="s">
        <v>292</v>
      </c>
      <c r="N104" s="35">
        <v>0</v>
      </c>
      <c r="O104" s="51"/>
      <c r="P104" s="51"/>
      <c r="Q104" s="64"/>
      <c r="R104" s="76">
        <v>3.292531135531136</v>
      </c>
      <c r="S104" s="76">
        <v>3.292531135531136</v>
      </c>
      <c r="T104" s="66">
        <v>2.9761112840466919</v>
      </c>
      <c r="U104" s="67">
        <f t="shared" si="3"/>
        <v>3.1343212097889142</v>
      </c>
      <c r="V104" s="66">
        <v>3.121269096005606</v>
      </c>
    </row>
    <row r="105" spans="1:22">
      <c r="A105" s="32" t="s">
        <v>89</v>
      </c>
      <c r="B105" s="35" t="s">
        <v>82</v>
      </c>
      <c r="C105" s="35" t="s">
        <v>21</v>
      </c>
      <c r="D105" s="35">
        <v>51</v>
      </c>
      <c r="E105" s="35">
        <v>15000</v>
      </c>
      <c r="F105" s="35">
        <v>33</v>
      </c>
      <c r="G105" s="35">
        <v>2</v>
      </c>
      <c r="H105" s="32" t="s">
        <v>199</v>
      </c>
      <c r="I105" s="32">
        <v>2</v>
      </c>
      <c r="J105" s="32">
        <v>1</v>
      </c>
      <c r="K105" s="32" t="s">
        <v>275</v>
      </c>
      <c r="L105" s="32" t="s">
        <v>157</v>
      </c>
      <c r="M105" s="42" t="s">
        <v>292</v>
      </c>
      <c r="N105" s="35">
        <v>0</v>
      </c>
      <c r="O105" s="51">
        <v>1.2299999999999613</v>
      </c>
      <c r="P105" s="51">
        <v>1.2299999999999613</v>
      </c>
      <c r="Q105" s="64">
        <v>1</v>
      </c>
      <c r="R105" s="76">
        <v>2.994626172034244</v>
      </c>
      <c r="S105" s="76">
        <v>2.994626172034244</v>
      </c>
      <c r="T105" s="66">
        <v>2.765176352705411</v>
      </c>
      <c r="U105" s="67">
        <f t="shared" si="3"/>
        <v>2.8799012623698275</v>
      </c>
      <c r="V105" s="66">
        <v>2.8972516579406631</v>
      </c>
    </row>
    <row r="106" spans="1:22">
      <c r="A106" s="32" t="s">
        <v>89</v>
      </c>
      <c r="B106" s="35" t="s">
        <v>82</v>
      </c>
      <c r="C106" s="35" t="s">
        <v>21</v>
      </c>
      <c r="D106" s="35">
        <v>51</v>
      </c>
      <c r="E106" s="35">
        <v>15000</v>
      </c>
      <c r="F106" s="35">
        <v>33</v>
      </c>
      <c r="G106" s="35">
        <v>2</v>
      </c>
      <c r="H106" s="32" t="s">
        <v>199</v>
      </c>
      <c r="I106" s="32">
        <v>3</v>
      </c>
      <c r="J106" s="32">
        <v>2</v>
      </c>
      <c r="K106" s="32" t="s">
        <v>276</v>
      </c>
      <c r="L106" s="32" t="s">
        <v>153</v>
      </c>
      <c r="M106" s="42" t="s">
        <v>234</v>
      </c>
      <c r="N106" s="35">
        <v>0</v>
      </c>
      <c r="O106" s="51">
        <v>8.32000000000005</v>
      </c>
      <c r="P106" s="51">
        <v>8.32000000000005</v>
      </c>
      <c r="Q106" s="64">
        <v>1</v>
      </c>
      <c r="R106" s="76">
        <v>3.0710694050991498</v>
      </c>
      <c r="S106" s="76">
        <v>3.0710694050991498</v>
      </c>
      <c r="T106" s="66">
        <v>2.7087768374164809</v>
      </c>
      <c r="U106" s="67">
        <f t="shared" si="3"/>
        <v>2.8899231212578154</v>
      </c>
      <c r="V106" s="66">
        <v>2.8775773512476008</v>
      </c>
    </row>
    <row r="107" spans="1:22">
      <c r="A107" s="32" t="s">
        <v>89</v>
      </c>
      <c r="B107" s="35" t="s">
        <v>82</v>
      </c>
      <c r="C107" s="35" t="s">
        <v>21</v>
      </c>
      <c r="D107" s="35">
        <v>51</v>
      </c>
      <c r="E107" s="35">
        <v>15000</v>
      </c>
      <c r="F107" s="35">
        <v>33</v>
      </c>
      <c r="G107" s="35">
        <v>2</v>
      </c>
      <c r="H107" s="32" t="s">
        <v>199</v>
      </c>
      <c r="I107" s="32">
        <v>4</v>
      </c>
      <c r="J107" s="32">
        <v>3</v>
      </c>
      <c r="K107" s="32" t="s">
        <v>276</v>
      </c>
      <c r="L107" s="32" t="s">
        <v>158</v>
      </c>
      <c r="M107" s="42" t="s">
        <v>234</v>
      </c>
      <c r="N107" s="35">
        <v>0</v>
      </c>
      <c r="O107" s="51">
        <v>0.43799999999998818</v>
      </c>
      <c r="P107" s="51">
        <v>0.43799999999998818</v>
      </c>
      <c r="Q107" s="64">
        <v>1</v>
      </c>
      <c r="R107" s="76">
        <v>3.2022123076923079</v>
      </c>
      <c r="S107" s="76">
        <v>3.2022123076923079</v>
      </c>
      <c r="T107" s="66">
        <v>2.87005753184014</v>
      </c>
      <c r="U107" s="67">
        <f t="shared" si="3"/>
        <v>3.0361349197662237</v>
      </c>
      <c r="V107" s="66">
        <v>3.0117205938332701</v>
      </c>
    </row>
    <row r="108" spans="1:22">
      <c r="A108" s="32" t="s">
        <v>89</v>
      </c>
      <c r="B108" s="35" t="s">
        <v>82</v>
      </c>
      <c r="C108" s="35" t="s">
        <v>21</v>
      </c>
      <c r="D108" s="35">
        <v>51</v>
      </c>
      <c r="E108" s="35">
        <v>15000</v>
      </c>
      <c r="F108" s="35">
        <v>33</v>
      </c>
      <c r="G108" s="35">
        <v>2</v>
      </c>
      <c r="H108" s="32" t="s">
        <v>199</v>
      </c>
      <c r="I108" s="32">
        <v>5</v>
      </c>
      <c r="J108" s="32">
        <v>4</v>
      </c>
      <c r="K108" s="32" t="s">
        <v>275</v>
      </c>
      <c r="L108" s="32" t="s">
        <v>155</v>
      </c>
      <c r="M108" s="42" t="s">
        <v>234</v>
      </c>
      <c r="N108" s="35">
        <v>0</v>
      </c>
      <c r="O108" s="51">
        <v>0.63999999999998636</v>
      </c>
      <c r="P108" s="51">
        <v>0.63999999999998636</v>
      </c>
      <c r="Q108" s="64">
        <v>1</v>
      </c>
      <c r="R108" s="76">
        <v>3.3165066014669931</v>
      </c>
      <c r="S108" s="76">
        <v>3.3165066014669931</v>
      </c>
      <c r="T108" s="66">
        <v>2.8955083612040129</v>
      </c>
      <c r="U108" s="67">
        <f t="shared" si="3"/>
        <v>3.106007481335503</v>
      </c>
      <c r="V108" s="66">
        <v>3.105193573667711</v>
      </c>
    </row>
    <row r="109" spans="1:22">
      <c r="A109" s="32" t="s">
        <v>89</v>
      </c>
      <c r="B109" s="35" t="s">
        <v>82</v>
      </c>
      <c r="C109" s="35" t="s">
        <v>21</v>
      </c>
      <c r="D109" s="35">
        <v>51</v>
      </c>
      <c r="E109" s="35">
        <v>15000</v>
      </c>
      <c r="F109" s="35">
        <v>33</v>
      </c>
      <c r="G109" s="35">
        <v>2</v>
      </c>
      <c r="H109" s="32" t="s">
        <v>199</v>
      </c>
      <c r="I109" s="32">
        <v>6</v>
      </c>
      <c r="J109" s="32">
        <v>5</v>
      </c>
      <c r="K109" s="32" t="s">
        <v>275</v>
      </c>
      <c r="L109" s="32" t="s">
        <v>154</v>
      </c>
      <c r="M109" s="42" t="s">
        <v>234</v>
      </c>
      <c r="N109" s="35">
        <v>0</v>
      </c>
      <c r="O109" s="51">
        <v>5.3799999999998818</v>
      </c>
      <c r="P109" s="51">
        <v>5.3799999999998818</v>
      </c>
      <c r="Q109" s="64">
        <v>1</v>
      </c>
      <c r="R109" s="76">
        <v>3.1548093812375249</v>
      </c>
      <c r="S109" s="76">
        <v>3.1548093812375249</v>
      </c>
      <c r="T109" s="66">
        <v>2.798426615318784</v>
      </c>
      <c r="U109" s="67">
        <f t="shared" si="3"/>
        <v>2.9766179982781544</v>
      </c>
      <c r="V109" s="66">
        <v>2.9265493966817502</v>
      </c>
    </row>
    <row r="110" spans="1:22">
      <c r="A110" s="32" t="s">
        <v>89</v>
      </c>
      <c r="B110" s="35" t="s">
        <v>82</v>
      </c>
      <c r="C110" s="35" t="s">
        <v>22</v>
      </c>
      <c r="D110" s="35">
        <v>51</v>
      </c>
      <c r="E110" s="35">
        <v>15000</v>
      </c>
      <c r="F110" s="35">
        <v>33</v>
      </c>
      <c r="G110" s="35">
        <v>3</v>
      </c>
      <c r="H110" s="32" t="s">
        <v>194</v>
      </c>
      <c r="I110" s="32">
        <v>1</v>
      </c>
      <c r="J110" s="32">
        <v>1</v>
      </c>
      <c r="K110" s="32" t="s">
        <v>275</v>
      </c>
      <c r="L110" s="32" t="s">
        <v>153</v>
      </c>
      <c r="M110" s="42" t="s">
        <v>293</v>
      </c>
      <c r="N110" s="35">
        <v>0</v>
      </c>
      <c r="O110" s="51">
        <v>5.4699999999999989</v>
      </c>
      <c r="P110" s="51">
        <v>5.4699999999999989</v>
      </c>
      <c r="Q110" s="64">
        <v>1</v>
      </c>
      <c r="R110" s="76">
        <v>3.3869257660768231</v>
      </c>
      <c r="S110" s="76">
        <v>3.3869257660768231</v>
      </c>
      <c r="T110" s="66">
        <v>3.100698822463769</v>
      </c>
      <c r="U110" s="67">
        <f t="shared" si="3"/>
        <v>3.2438122942702963</v>
      </c>
      <c r="V110" s="66">
        <v>3.2487505446623102</v>
      </c>
    </row>
    <row r="111" spans="1:22">
      <c r="A111" s="32" t="s">
        <v>89</v>
      </c>
      <c r="B111" s="35" t="s">
        <v>82</v>
      </c>
      <c r="C111" s="35" t="s">
        <v>22</v>
      </c>
      <c r="D111" s="35">
        <v>51</v>
      </c>
      <c r="E111" s="35">
        <v>15000</v>
      </c>
      <c r="F111" s="35">
        <v>33</v>
      </c>
      <c r="G111" s="35">
        <v>3</v>
      </c>
      <c r="H111" s="32" t="s">
        <v>194</v>
      </c>
      <c r="I111" s="32">
        <v>2</v>
      </c>
      <c r="J111" s="32">
        <v>2</v>
      </c>
      <c r="K111" s="32" t="s">
        <v>276</v>
      </c>
      <c r="L111" s="32" t="s">
        <v>154</v>
      </c>
      <c r="M111" s="42" t="s">
        <v>293</v>
      </c>
      <c r="N111" s="35">
        <v>0</v>
      </c>
      <c r="O111" s="51">
        <v>2.3129999999999882</v>
      </c>
      <c r="P111" s="51">
        <v>2.3129999999999882</v>
      </c>
      <c r="Q111" s="64">
        <v>1</v>
      </c>
      <c r="R111" s="76">
        <v>3.1413319088319089</v>
      </c>
      <c r="S111" s="76">
        <v>3.1413319088319089</v>
      </c>
      <c r="T111" s="66">
        <v>2.8998128626692461</v>
      </c>
      <c r="U111" s="67">
        <f t="shared" si="3"/>
        <v>3.0205723857505777</v>
      </c>
      <c r="V111" s="66">
        <v>3.0277063048683162</v>
      </c>
    </row>
    <row r="112" spans="1:22">
      <c r="A112" s="32" t="s">
        <v>89</v>
      </c>
      <c r="B112" s="35" t="s">
        <v>82</v>
      </c>
      <c r="C112" s="35" t="s">
        <v>22</v>
      </c>
      <c r="D112" s="35">
        <v>51</v>
      </c>
      <c r="E112" s="35">
        <v>15000</v>
      </c>
      <c r="F112" s="35">
        <v>33</v>
      </c>
      <c r="G112" s="35">
        <v>3</v>
      </c>
      <c r="H112" s="32" t="s">
        <v>194</v>
      </c>
      <c r="I112" s="32">
        <v>3</v>
      </c>
      <c r="J112" s="32">
        <v>3</v>
      </c>
      <c r="K112" s="32" t="s">
        <v>276</v>
      </c>
      <c r="L112" s="32" t="s">
        <v>155</v>
      </c>
      <c r="M112" s="42" t="s">
        <v>228</v>
      </c>
      <c r="N112" s="35">
        <v>0</v>
      </c>
      <c r="O112" s="51">
        <v>1.0489999999999782</v>
      </c>
      <c r="P112" s="51">
        <v>1.0489999999999782</v>
      </c>
      <c r="Q112" s="64">
        <v>1</v>
      </c>
      <c r="R112" s="76">
        <v>3.2981416781292991</v>
      </c>
      <c r="S112" s="76">
        <v>3.2981416781292991</v>
      </c>
      <c r="T112" s="66">
        <v>2.957743640897756</v>
      </c>
      <c r="U112" s="67">
        <f t="shared" si="3"/>
        <v>3.1279426595135273</v>
      </c>
      <c r="V112" s="66">
        <v>3.144093373493976</v>
      </c>
    </row>
    <row r="113" spans="1:22">
      <c r="A113" s="32" t="s">
        <v>89</v>
      </c>
      <c r="B113" s="35" t="s">
        <v>82</v>
      </c>
      <c r="C113" s="35" t="s">
        <v>22</v>
      </c>
      <c r="D113" s="35">
        <v>51</v>
      </c>
      <c r="E113" s="35">
        <v>15000</v>
      </c>
      <c r="F113" s="35">
        <v>33</v>
      </c>
      <c r="G113" s="35">
        <v>3</v>
      </c>
      <c r="H113" s="32" t="s">
        <v>194</v>
      </c>
      <c r="I113" s="32">
        <v>4</v>
      </c>
      <c r="K113" s="32" t="s">
        <v>275</v>
      </c>
      <c r="L113" s="32" t="s">
        <v>156</v>
      </c>
      <c r="M113" s="42" t="s">
        <v>228</v>
      </c>
      <c r="N113" s="35">
        <v>0</v>
      </c>
      <c r="O113" s="51"/>
      <c r="P113" s="51"/>
      <c r="Q113" s="64"/>
      <c r="R113" s="76">
        <v>3.2852235051546388</v>
      </c>
      <c r="S113" s="76">
        <v>3.2852235051546388</v>
      </c>
      <c r="T113" s="66">
        <v>3.004545040946315</v>
      </c>
      <c r="U113" s="67">
        <f t="shared" si="3"/>
        <v>3.1448842730504767</v>
      </c>
      <c r="V113" s="66">
        <v>3.167238950772548</v>
      </c>
    </row>
    <row r="114" spans="1:22">
      <c r="A114" s="32" t="s">
        <v>89</v>
      </c>
      <c r="B114" s="35" t="s">
        <v>82</v>
      </c>
      <c r="C114" s="35" t="s">
        <v>22</v>
      </c>
      <c r="D114" s="35">
        <v>51</v>
      </c>
      <c r="E114" s="35">
        <v>15000</v>
      </c>
      <c r="F114" s="35">
        <v>33</v>
      </c>
      <c r="G114" s="35">
        <v>3</v>
      </c>
      <c r="H114" s="32" t="s">
        <v>194</v>
      </c>
      <c r="I114" s="32">
        <v>5</v>
      </c>
      <c r="J114" s="32">
        <v>4</v>
      </c>
      <c r="K114" s="32" t="s">
        <v>276</v>
      </c>
      <c r="L114" s="32" t="s">
        <v>157</v>
      </c>
      <c r="M114" s="42" t="s">
        <v>228</v>
      </c>
      <c r="N114" s="35">
        <v>0</v>
      </c>
      <c r="O114" s="51">
        <v>7.9900000000000091</v>
      </c>
      <c r="P114" s="51">
        <v>7.9900000000000091</v>
      </c>
      <c r="Q114" s="64">
        <v>1</v>
      </c>
      <c r="R114" s="76">
        <v>3.2466025179856119</v>
      </c>
      <c r="S114" s="76">
        <v>3.2466025179856119</v>
      </c>
      <c r="T114" s="66">
        <v>2.9116028037383179</v>
      </c>
      <c r="U114" s="67">
        <f t="shared" si="3"/>
        <v>3.0791026608619649</v>
      </c>
      <c r="V114" s="66">
        <v>3.0917400295420978</v>
      </c>
    </row>
    <row r="115" spans="1:22">
      <c r="A115" s="32" t="s">
        <v>89</v>
      </c>
      <c r="B115" s="35" t="s">
        <v>82</v>
      </c>
      <c r="C115" s="35" t="s">
        <v>22</v>
      </c>
      <c r="D115" s="35">
        <v>51</v>
      </c>
      <c r="E115" s="35">
        <v>15000</v>
      </c>
      <c r="F115" s="35">
        <v>33</v>
      </c>
      <c r="G115" s="35">
        <v>3</v>
      </c>
      <c r="H115" s="32" t="s">
        <v>194</v>
      </c>
      <c r="I115" s="32">
        <v>6</v>
      </c>
      <c r="J115" s="32">
        <v>5</v>
      </c>
      <c r="K115" s="32" t="s">
        <v>275</v>
      </c>
      <c r="L115" s="32" t="s">
        <v>158</v>
      </c>
      <c r="M115" s="42" t="s">
        <v>228</v>
      </c>
      <c r="N115" s="35">
        <v>0</v>
      </c>
      <c r="O115" s="51">
        <v>0.69800000000009277</v>
      </c>
      <c r="P115" s="51">
        <v>0.69800000000009277</v>
      </c>
      <c r="Q115" s="64">
        <v>1</v>
      </c>
      <c r="R115" s="76">
        <v>3.2766829787234042</v>
      </c>
      <c r="S115" s="76">
        <v>3.2766829787234042</v>
      </c>
      <c r="T115" s="66">
        <v>2.997827835517398</v>
      </c>
      <c r="U115" s="67">
        <f t="shared" si="3"/>
        <v>3.1372554071204011</v>
      </c>
      <c r="V115" s="66">
        <v>3.145058342623559</v>
      </c>
    </row>
    <row r="116" spans="1:22">
      <c r="A116" s="34" t="s">
        <v>90</v>
      </c>
      <c r="B116" s="38" t="s">
        <v>82</v>
      </c>
      <c r="C116" s="38" t="s">
        <v>22</v>
      </c>
      <c r="D116" s="35">
        <v>37</v>
      </c>
      <c r="E116" s="35">
        <v>6000</v>
      </c>
      <c r="F116" s="35">
        <v>19</v>
      </c>
      <c r="G116" s="38">
        <v>1</v>
      </c>
      <c r="H116" s="34" t="s">
        <v>197</v>
      </c>
      <c r="I116" s="34">
        <v>1</v>
      </c>
      <c r="J116" s="34">
        <v>1</v>
      </c>
      <c r="K116" s="34" t="s">
        <v>275</v>
      </c>
      <c r="L116" s="34" t="s">
        <v>154</v>
      </c>
      <c r="M116" s="44" t="s">
        <v>294</v>
      </c>
      <c r="N116" s="35">
        <v>0</v>
      </c>
      <c r="O116" s="51">
        <v>-1.5999999999999659</v>
      </c>
      <c r="P116" s="51">
        <v>-1.5999999999999659</v>
      </c>
      <c r="Q116" s="64">
        <v>1</v>
      </c>
      <c r="R116" s="76">
        <v>3.3237065363881402</v>
      </c>
      <c r="S116" s="76">
        <v>3.3237065363881402</v>
      </c>
      <c r="T116" s="66">
        <v>3.1814056413700471</v>
      </c>
      <c r="U116" s="67">
        <f t="shared" si="3"/>
        <v>3.2525560888790936</v>
      </c>
      <c r="V116" s="66">
        <v>3.2525784379172231</v>
      </c>
    </row>
    <row r="117" spans="1:22">
      <c r="A117" s="34" t="s">
        <v>90</v>
      </c>
      <c r="B117" s="38" t="s">
        <v>82</v>
      </c>
      <c r="C117" s="38" t="s">
        <v>22</v>
      </c>
      <c r="D117" s="35">
        <v>37</v>
      </c>
      <c r="E117" s="35">
        <v>6000</v>
      </c>
      <c r="F117" s="35">
        <v>19</v>
      </c>
      <c r="G117" s="38">
        <v>1</v>
      </c>
      <c r="H117" s="34" t="s">
        <v>197</v>
      </c>
      <c r="I117" s="34">
        <v>2</v>
      </c>
      <c r="J117" s="34">
        <v>2</v>
      </c>
      <c r="K117" s="34" t="s">
        <v>276</v>
      </c>
      <c r="L117" s="34" t="s">
        <v>155</v>
      </c>
      <c r="M117" s="44" t="s">
        <v>294</v>
      </c>
      <c r="N117" s="35">
        <v>0</v>
      </c>
      <c r="O117" s="51">
        <v>1.6949999999999363</v>
      </c>
      <c r="P117" s="51">
        <v>1.6949999999999363</v>
      </c>
      <c r="Q117" s="64">
        <v>1</v>
      </c>
      <c r="R117" s="76">
        <v>3.2323956712884678</v>
      </c>
      <c r="S117" s="76">
        <v>3.2323956712884678</v>
      </c>
      <c r="T117" s="66">
        <v>3.1190559865092751</v>
      </c>
      <c r="U117" s="67">
        <f t="shared" si="3"/>
        <v>3.1757258288988712</v>
      </c>
      <c r="V117" s="66">
        <v>3.178157665213015</v>
      </c>
    </row>
    <row r="118" spans="1:22">
      <c r="A118" s="34" t="s">
        <v>90</v>
      </c>
      <c r="B118" s="38" t="s">
        <v>82</v>
      </c>
      <c r="C118" s="38" t="s">
        <v>22</v>
      </c>
      <c r="D118" s="35">
        <v>37</v>
      </c>
      <c r="E118" s="35">
        <v>6000</v>
      </c>
      <c r="F118" s="35">
        <v>19</v>
      </c>
      <c r="G118" s="38">
        <v>1</v>
      </c>
      <c r="H118" s="34" t="s">
        <v>197</v>
      </c>
      <c r="I118" s="34">
        <v>3</v>
      </c>
      <c r="J118" s="34">
        <v>3</v>
      </c>
      <c r="K118" s="34" t="s">
        <v>275</v>
      </c>
      <c r="L118" s="34" t="s">
        <v>158</v>
      </c>
      <c r="M118" s="44" t="s">
        <v>294</v>
      </c>
      <c r="N118" s="35">
        <v>0</v>
      </c>
      <c r="O118" s="51">
        <v>0.47599999999999909</v>
      </c>
      <c r="P118" s="51">
        <v>0.47599999999999909</v>
      </c>
      <c r="Q118" s="64">
        <v>1</v>
      </c>
      <c r="R118" s="76">
        <v>3.419865899085675</v>
      </c>
      <c r="S118" s="76">
        <v>3.419865899085675</v>
      </c>
      <c r="T118" s="66">
        <v>3.2822532839339851</v>
      </c>
      <c r="U118" s="67">
        <f t="shared" si="3"/>
        <v>3.3510595915098298</v>
      </c>
      <c r="V118" s="66">
        <v>3.3522694870086611</v>
      </c>
    </row>
    <row r="119" spans="1:22">
      <c r="A119" s="34" t="s">
        <v>90</v>
      </c>
      <c r="B119" s="38" t="s">
        <v>82</v>
      </c>
      <c r="C119" s="38" t="s">
        <v>22</v>
      </c>
      <c r="D119" s="35">
        <v>37</v>
      </c>
      <c r="E119" s="35">
        <v>6000</v>
      </c>
      <c r="F119" s="35">
        <v>19</v>
      </c>
      <c r="G119" s="38">
        <v>1</v>
      </c>
      <c r="H119" s="34" t="s">
        <v>197</v>
      </c>
      <c r="I119" s="34">
        <v>4</v>
      </c>
      <c r="J119" s="34">
        <v>4</v>
      </c>
      <c r="K119" s="34" t="s">
        <v>276</v>
      </c>
      <c r="L119" s="34" t="s">
        <v>157</v>
      </c>
      <c r="M119" s="44" t="s">
        <v>294</v>
      </c>
      <c r="N119" s="35">
        <v>0</v>
      </c>
      <c r="O119" s="51">
        <v>1.6879999999999882</v>
      </c>
      <c r="P119" s="51">
        <v>1.6879999999999882</v>
      </c>
      <c r="Q119" s="64">
        <v>1</v>
      </c>
      <c r="R119" s="76">
        <v>3.206536903535874</v>
      </c>
      <c r="S119" s="76">
        <v>3.206536903535874</v>
      </c>
      <c r="T119" s="66">
        <v>3.0958692098092642</v>
      </c>
      <c r="U119" s="67">
        <f t="shared" si="3"/>
        <v>3.1512030566725691</v>
      </c>
      <c r="V119" s="66">
        <v>3.1523977807666439</v>
      </c>
    </row>
    <row r="120" spans="1:22">
      <c r="A120" s="34" t="s">
        <v>90</v>
      </c>
      <c r="B120" s="38" t="s">
        <v>82</v>
      </c>
      <c r="C120" s="38" t="s">
        <v>22</v>
      </c>
      <c r="D120" s="35">
        <v>37</v>
      </c>
      <c r="E120" s="35">
        <v>6000</v>
      </c>
      <c r="F120" s="35">
        <v>19</v>
      </c>
      <c r="G120" s="38">
        <v>1</v>
      </c>
      <c r="H120" s="34" t="s">
        <v>197</v>
      </c>
      <c r="I120" s="34">
        <v>5</v>
      </c>
      <c r="J120" s="34"/>
      <c r="K120" s="34" t="s">
        <v>276</v>
      </c>
      <c r="L120" s="34" t="s">
        <v>156</v>
      </c>
      <c r="M120" s="44" t="s">
        <v>294</v>
      </c>
      <c r="N120" s="35">
        <v>4.4499999999999998E-2</v>
      </c>
      <c r="O120" s="51"/>
      <c r="P120" s="51"/>
      <c r="Q120" s="64"/>
      <c r="R120" s="76">
        <v>3.0498387644263412</v>
      </c>
      <c r="S120" s="76">
        <v>3.0498387644263412</v>
      </c>
      <c r="T120" s="66">
        <v>2.9374665314401618</v>
      </c>
      <c r="U120" s="67">
        <f t="shared" si="3"/>
        <v>2.9936526479332515</v>
      </c>
      <c r="V120" s="66">
        <v>3.0024009418096189</v>
      </c>
    </row>
    <row r="121" spans="1:22">
      <c r="A121" s="34" t="s">
        <v>90</v>
      </c>
      <c r="B121" s="38" t="s">
        <v>82</v>
      </c>
      <c r="C121" s="38" t="s">
        <v>22</v>
      </c>
      <c r="D121" s="35">
        <v>37</v>
      </c>
      <c r="E121" s="35">
        <v>6000</v>
      </c>
      <c r="F121" s="35">
        <v>19</v>
      </c>
      <c r="G121" s="38">
        <v>1</v>
      </c>
      <c r="H121" s="34" t="s">
        <v>197</v>
      </c>
      <c r="I121" s="34">
        <v>6</v>
      </c>
      <c r="J121" s="34">
        <v>5</v>
      </c>
      <c r="K121" s="34" t="s">
        <v>275</v>
      </c>
      <c r="L121" s="34" t="s">
        <v>153</v>
      </c>
      <c r="M121" s="44" t="s">
        <v>294</v>
      </c>
      <c r="N121" s="35">
        <v>0</v>
      </c>
      <c r="O121" s="51">
        <v>0.82999999999992724</v>
      </c>
      <c r="P121" s="51">
        <v>0.82999999999992724</v>
      </c>
      <c r="Q121" s="64">
        <v>1</v>
      </c>
      <c r="R121" s="76">
        <v>3.1578010862186008</v>
      </c>
      <c r="S121" s="76">
        <v>3.1578010862186008</v>
      </c>
      <c r="T121" s="66">
        <v>3.062990492359932</v>
      </c>
      <c r="U121" s="67">
        <f t="shared" ref="U121:U124" si="4">AVERAGE(S121:T121)</f>
        <v>3.1103957892892664</v>
      </c>
      <c r="V121" s="66">
        <v>3.116009421265141</v>
      </c>
    </row>
    <row r="122" spans="1:22">
      <c r="A122" s="34" t="s">
        <v>90</v>
      </c>
      <c r="B122" s="38" t="s">
        <v>82</v>
      </c>
      <c r="C122" s="38" t="s">
        <v>14</v>
      </c>
      <c r="D122" s="35">
        <v>37</v>
      </c>
      <c r="E122" s="35">
        <v>6000</v>
      </c>
      <c r="F122" s="35">
        <v>19</v>
      </c>
      <c r="G122" s="38">
        <v>2</v>
      </c>
      <c r="H122" s="34" t="s">
        <v>199</v>
      </c>
      <c r="I122" s="34">
        <v>1</v>
      </c>
      <c r="J122" s="34"/>
      <c r="K122" s="34" t="s">
        <v>276</v>
      </c>
      <c r="L122" s="34" t="s">
        <v>156</v>
      </c>
      <c r="M122" s="44" t="s">
        <v>295</v>
      </c>
      <c r="N122" s="35">
        <v>0</v>
      </c>
      <c r="O122" s="51"/>
      <c r="P122" s="51"/>
      <c r="Q122" s="64"/>
      <c r="R122" s="76">
        <v>3.211284210526316</v>
      </c>
      <c r="S122" s="76">
        <v>3.211284210526316</v>
      </c>
      <c r="T122" s="66">
        <v>3.0749655986509281</v>
      </c>
      <c r="U122" s="67">
        <f t="shared" si="4"/>
        <v>3.143124904588622</v>
      </c>
      <c r="V122" s="66">
        <v>3.144217347622237</v>
      </c>
    </row>
    <row r="123" spans="1:22">
      <c r="A123" s="34" t="s">
        <v>90</v>
      </c>
      <c r="B123" s="38" t="s">
        <v>82</v>
      </c>
      <c r="C123" s="38" t="s">
        <v>14</v>
      </c>
      <c r="D123" s="35">
        <v>37</v>
      </c>
      <c r="E123" s="35">
        <v>6000</v>
      </c>
      <c r="F123" s="35">
        <v>19</v>
      </c>
      <c r="G123" s="38">
        <v>2</v>
      </c>
      <c r="H123" s="34" t="s">
        <v>199</v>
      </c>
      <c r="I123" s="34">
        <v>2</v>
      </c>
      <c r="J123" s="34">
        <v>1</v>
      </c>
      <c r="K123" s="34" t="s">
        <v>275</v>
      </c>
      <c r="L123" s="34" t="s">
        <v>157</v>
      </c>
      <c r="M123" s="44" t="s">
        <v>295</v>
      </c>
      <c r="N123" s="35">
        <v>0</v>
      </c>
      <c r="O123" s="51">
        <v>-0.39999999999997726</v>
      </c>
      <c r="P123" s="51">
        <v>-0.39999999999997726</v>
      </c>
      <c r="Q123" s="64">
        <v>1</v>
      </c>
      <c r="R123" s="76">
        <v>3.2619645629429632</v>
      </c>
      <c r="S123" s="76">
        <v>3.2619645629429632</v>
      </c>
      <c r="T123" s="66">
        <v>3.159554285714286</v>
      </c>
      <c r="U123" s="67">
        <f t="shared" si="4"/>
        <v>3.2107594243286246</v>
      </c>
      <c r="V123" s="66">
        <v>3.2127506675567421</v>
      </c>
    </row>
    <row r="124" spans="1:22">
      <c r="A124" s="34" t="s">
        <v>90</v>
      </c>
      <c r="B124" s="38" t="s">
        <v>82</v>
      </c>
      <c r="C124" s="38" t="s">
        <v>14</v>
      </c>
      <c r="D124" s="35">
        <v>37</v>
      </c>
      <c r="E124" s="35">
        <v>6000</v>
      </c>
      <c r="F124" s="35">
        <v>19</v>
      </c>
      <c r="G124" s="38">
        <v>2</v>
      </c>
      <c r="H124" s="34" t="s">
        <v>199</v>
      </c>
      <c r="I124" s="34">
        <v>3</v>
      </c>
      <c r="J124" s="34">
        <v>2</v>
      </c>
      <c r="K124" s="34" t="s">
        <v>276</v>
      </c>
      <c r="L124" s="34" t="s">
        <v>153</v>
      </c>
      <c r="M124" s="44" t="s">
        <v>200</v>
      </c>
      <c r="N124" s="35">
        <v>4.5400000000000003E-2</v>
      </c>
      <c r="O124" s="51">
        <v>6.75</v>
      </c>
      <c r="P124" s="51">
        <v>6.75</v>
      </c>
      <c r="Q124" s="64">
        <v>1</v>
      </c>
      <c r="R124" s="76">
        <v>3.116661517336079</v>
      </c>
      <c r="S124" s="76">
        <v>3.116661517336079</v>
      </c>
      <c r="T124" s="66">
        <v>3.0314934931506849</v>
      </c>
      <c r="U124" s="67">
        <f t="shared" si="4"/>
        <v>3.0740775052433822</v>
      </c>
      <c r="V124" s="66">
        <v>3.0777457684495602</v>
      </c>
    </row>
    <row r="125" spans="1:22">
      <c r="A125" s="34" t="s">
        <v>90</v>
      </c>
      <c r="B125" s="38" t="s">
        <v>82</v>
      </c>
      <c r="C125" s="38" t="s">
        <v>14</v>
      </c>
      <c r="D125" s="35">
        <v>37</v>
      </c>
      <c r="E125" s="35">
        <v>6000</v>
      </c>
      <c r="F125" s="35">
        <v>19</v>
      </c>
      <c r="G125" s="38">
        <v>2</v>
      </c>
      <c r="H125" s="34" t="s">
        <v>199</v>
      </c>
      <c r="I125" s="34">
        <v>4</v>
      </c>
      <c r="J125" s="34">
        <v>3</v>
      </c>
      <c r="K125" s="34" t="s">
        <v>276</v>
      </c>
      <c r="L125" s="34" t="s">
        <v>158</v>
      </c>
      <c r="M125" s="44" t="s">
        <v>200</v>
      </c>
      <c r="N125" s="35"/>
      <c r="O125" s="51" t="s">
        <v>394</v>
      </c>
      <c r="P125" s="51" t="s">
        <v>394</v>
      </c>
      <c r="Q125" s="64" t="s">
        <v>274</v>
      </c>
    </row>
    <row r="126" spans="1:22">
      <c r="A126" s="34" t="s">
        <v>90</v>
      </c>
      <c r="B126" s="38" t="s">
        <v>82</v>
      </c>
      <c r="C126" s="38" t="s">
        <v>14</v>
      </c>
      <c r="D126" s="35">
        <v>37</v>
      </c>
      <c r="E126" s="35">
        <v>6000</v>
      </c>
      <c r="F126" s="35">
        <v>19</v>
      </c>
      <c r="G126" s="38">
        <v>2</v>
      </c>
      <c r="H126" s="34" t="s">
        <v>199</v>
      </c>
      <c r="I126" s="34">
        <v>5</v>
      </c>
      <c r="J126" s="34">
        <v>4</v>
      </c>
      <c r="K126" s="34" t="s">
        <v>275</v>
      </c>
      <c r="L126" s="34" t="s">
        <v>155</v>
      </c>
      <c r="M126" s="44" t="s">
        <v>200</v>
      </c>
      <c r="N126" s="35">
        <v>0</v>
      </c>
      <c r="O126" s="51">
        <v>1.2200000000000273</v>
      </c>
      <c r="P126" s="51">
        <v>1.2200000000000273</v>
      </c>
      <c r="Q126" s="64">
        <v>1</v>
      </c>
      <c r="R126" s="76">
        <v>3.118971608832807</v>
      </c>
      <c r="S126" s="76">
        <v>3.118971608832807</v>
      </c>
      <c r="T126" s="66">
        <v>3.026809141660852</v>
      </c>
      <c r="U126" s="67">
        <f t="shared" ref="U126:U157" si="5">AVERAGE(S126:T126)</f>
        <v>3.0728903752468293</v>
      </c>
      <c r="V126" s="66">
        <v>3.0800533012379638</v>
      </c>
    </row>
    <row r="127" spans="1:22">
      <c r="A127" s="34" t="s">
        <v>90</v>
      </c>
      <c r="B127" s="38" t="s">
        <v>82</v>
      </c>
      <c r="C127" s="38" t="s">
        <v>14</v>
      </c>
      <c r="D127" s="35">
        <v>37</v>
      </c>
      <c r="E127" s="35">
        <v>6000</v>
      </c>
      <c r="F127" s="35">
        <v>19</v>
      </c>
      <c r="G127" s="38">
        <v>2</v>
      </c>
      <c r="H127" s="34" t="s">
        <v>199</v>
      </c>
      <c r="I127" s="34">
        <v>6</v>
      </c>
      <c r="J127" s="34">
        <v>5</v>
      </c>
      <c r="K127" s="34" t="s">
        <v>275</v>
      </c>
      <c r="L127" s="34" t="s">
        <v>154</v>
      </c>
      <c r="M127" s="44" t="s">
        <v>200</v>
      </c>
      <c r="N127" s="35">
        <v>0.42649999999999999</v>
      </c>
      <c r="O127" s="51">
        <v>-1.0000000000218279E-2</v>
      </c>
      <c r="P127" s="51">
        <v>-1.0000000000218279E-2</v>
      </c>
      <c r="Q127" s="64">
        <v>1</v>
      </c>
      <c r="R127" s="76">
        <v>3.07384375</v>
      </c>
      <c r="S127" s="76">
        <v>3.07384375</v>
      </c>
      <c r="T127" s="66">
        <v>2.961783165916176</v>
      </c>
      <c r="U127" s="67">
        <f t="shared" si="5"/>
        <v>3.0178134579580878</v>
      </c>
      <c r="V127" s="66">
        <v>3.026562671232877</v>
      </c>
    </row>
    <row r="128" spans="1:22">
      <c r="A128" s="34" t="s">
        <v>90</v>
      </c>
      <c r="B128" s="38" t="s">
        <v>82</v>
      </c>
      <c r="C128" s="38" t="s">
        <v>21</v>
      </c>
      <c r="D128" s="35">
        <v>37</v>
      </c>
      <c r="E128" s="35">
        <v>6000</v>
      </c>
      <c r="F128" s="35">
        <v>19</v>
      </c>
      <c r="G128" s="38">
        <v>3</v>
      </c>
      <c r="H128" s="34" t="s">
        <v>194</v>
      </c>
      <c r="I128" s="34">
        <v>1</v>
      </c>
      <c r="J128" s="34">
        <v>1</v>
      </c>
      <c r="K128" s="34" t="s">
        <v>275</v>
      </c>
      <c r="L128" s="34" t="s">
        <v>153</v>
      </c>
      <c r="M128" s="45" t="s">
        <v>296</v>
      </c>
      <c r="N128" s="35">
        <v>0</v>
      </c>
      <c r="O128" s="51">
        <v>2.3000000000000114</v>
      </c>
      <c r="P128" s="51">
        <v>2.3000000000000114</v>
      </c>
      <c r="Q128" s="64">
        <v>1</v>
      </c>
      <c r="R128" s="76">
        <v>3.2333006254886629</v>
      </c>
      <c r="S128" s="76">
        <v>3.2333006254886629</v>
      </c>
      <c r="T128" s="66">
        <v>3.0739973221117061</v>
      </c>
      <c r="U128" s="67">
        <f t="shared" si="5"/>
        <v>3.1536489738001845</v>
      </c>
      <c r="V128" s="66">
        <v>3.1531689363268312</v>
      </c>
    </row>
    <row r="129" spans="1:22">
      <c r="A129" s="34" t="s">
        <v>90</v>
      </c>
      <c r="B129" s="38" t="s">
        <v>82</v>
      </c>
      <c r="C129" s="38" t="s">
        <v>21</v>
      </c>
      <c r="D129" s="35">
        <v>37</v>
      </c>
      <c r="E129" s="35">
        <v>6000</v>
      </c>
      <c r="F129" s="35">
        <v>19</v>
      </c>
      <c r="G129" s="38">
        <v>3</v>
      </c>
      <c r="H129" s="34" t="s">
        <v>194</v>
      </c>
      <c r="I129" s="34">
        <v>2</v>
      </c>
      <c r="J129" s="34">
        <v>2</v>
      </c>
      <c r="K129" s="34" t="s">
        <v>276</v>
      </c>
      <c r="L129" s="34" t="s">
        <v>154</v>
      </c>
      <c r="M129" s="45" t="s">
        <v>296</v>
      </c>
      <c r="N129" s="35">
        <v>0</v>
      </c>
      <c r="O129" s="51">
        <v>3.7960000000000491</v>
      </c>
      <c r="P129" s="51">
        <v>3.7960000000000491</v>
      </c>
      <c r="Q129" s="64">
        <v>1</v>
      </c>
      <c r="R129" s="76">
        <v>2.992396663261832</v>
      </c>
      <c r="S129" s="76">
        <v>2.992396663261832</v>
      </c>
      <c r="T129" s="66">
        <v>2.9072612244897962</v>
      </c>
      <c r="U129" s="67">
        <f t="shared" si="5"/>
        <v>2.9498289438758141</v>
      </c>
      <c r="V129" s="66">
        <v>2.9536548463356982</v>
      </c>
    </row>
    <row r="130" spans="1:22">
      <c r="A130" s="34" t="s">
        <v>90</v>
      </c>
      <c r="B130" s="38" t="s">
        <v>82</v>
      </c>
      <c r="C130" s="38" t="s">
        <v>21</v>
      </c>
      <c r="D130" s="35">
        <v>37</v>
      </c>
      <c r="E130" s="35">
        <v>6000</v>
      </c>
      <c r="F130" s="35">
        <v>19</v>
      </c>
      <c r="G130" s="38">
        <v>3</v>
      </c>
      <c r="H130" s="34" t="s">
        <v>194</v>
      </c>
      <c r="I130" s="34">
        <v>3</v>
      </c>
      <c r="J130" s="34">
        <v>3</v>
      </c>
      <c r="K130" s="34" t="s">
        <v>276</v>
      </c>
      <c r="L130" s="34" t="s">
        <v>155</v>
      </c>
      <c r="M130" s="45" t="s">
        <v>272</v>
      </c>
      <c r="N130" s="35">
        <v>0</v>
      </c>
      <c r="O130" s="51">
        <v>-3.9500000000000455</v>
      </c>
      <c r="P130" s="51">
        <v>-3.9500000000000455</v>
      </c>
      <c r="Q130" s="64">
        <v>1</v>
      </c>
      <c r="R130" s="76">
        <v>3.048569382884418</v>
      </c>
      <c r="S130" s="76">
        <v>3.048569382884418</v>
      </c>
      <c r="T130" s="66">
        <v>2.975459863945578</v>
      </c>
      <c r="U130" s="67">
        <f t="shared" si="5"/>
        <v>3.012014623414998</v>
      </c>
      <c r="V130" s="66">
        <v>3.015631241565452</v>
      </c>
    </row>
    <row r="131" spans="1:22">
      <c r="A131" s="34" t="s">
        <v>90</v>
      </c>
      <c r="B131" s="38" t="s">
        <v>82</v>
      </c>
      <c r="C131" s="38" t="s">
        <v>21</v>
      </c>
      <c r="D131" s="35">
        <v>37</v>
      </c>
      <c r="E131" s="35">
        <v>6000</v>
      </c>
      <c r="F131" s="35">
        <v>19</v>
      </c>
      <c r="G131" s="38">
        <v>3</v>
      </c>
      <c r="H131" s="34" t="s">
        <v>194</v>
      </c>
      <c r="I131" s="34">
        <v>4</v>
      </c>
      <c r="J131" s="34"/>
      <c r="K131" s="34" t="s">
        <v>275</v>
      </c>
      <c r="L131" s="34" t="s">
        <v>156</v>
      </c>
      <c r="M131" s="45" t="s">
        <v>272</v>
      </c>
      <c r="N131" s="35">
        <v>0</v>
      </c>
      <c r="O131" s="51"/>
      <c r="P131" s="51"/>
      <c r="Q131" s="64"/>
      <c r="R131" s="76">
        <v>3.022374313186813</v>
      </c>
      <c r="S131" s="76">
        <v>3.022374313186813</v>
      </c>
      <c r="T131" s="66">
        <v>2.947413095646211</v>
      </c>
      <c r="U131" s="67">
        <f t="shared" si="5"/>
        <v>2.9848937044165123</v>
      </c>
      <c r="V131" s="66">
        <v>2.9880496957403651</v>
      </c>
    </row>
    <row r="132" spans="1:22">
      <c r="A132" s="34" t="s">
        <v>90</v>
      </c>
      <c r="B132" s="38" t="s">
        <v>82</v>
      </c>
      <c r="C132" s="38" t="s">
        <v>21</v>
      </c>
      <c r="D132" s="35">
        <v>37</v>
      </c>
      <c r="E132" s="35">
        <v>6000</v>
      </c>
      <c r="F132" s="35">
        <v>19</v>
      </c>
      <c r="G132" s="38">
        <v>3</v>
      </c>
      <c r="H132" s="34" t="s">
        <v>194</v>
      </c>
      <c r="I132" s="34">
        <v>5</v>
      </c>
      <c r="J132" s="34">
        <v>4</v>
      </c>
      <c r="K132" s="34" t="s">
        <v>276</v>
      </c>
      <c r="L132" s="34" t="s">
        <v>157</v>
      </c>
      <c r="M132" s="45" t="s">
        <v>272</v>
      </c>
      <c r="N132" s="35">
        <v>0</v>
      </c>
      <c r="O132" s="51">
        <v>2.1000000000001364</v>
      </c>
      <c r="P132" s="51">
        <v>2.1000000000001364</v>
      </c>
      <c r="Q132" s="64">
        <v>1</v>
      </c>
      <c r="R132" s="76">
        <v>3.1434796363636361</v>
      </c>
      <c r="S132" s="76">
        <v>3.1434796363636361</v>
      </c>
      <c r="T132" s="66">
        <v>3.0602013153087331</v>
      </c>
      <c r="U132" s="67">
        <f t="shared" si="5"/>
        <v>3.1018404758361848</v>
      </c>
      <c r="V132" s="66">
        <v>3.1130981375358169</v>
      </c>
    </row>
    <row r="133" spans="1:22">
      <c r="A133" s="34" t="s">
        <v>90</v>
      </c>
      <c r="B133" s="38" t="s">
        <v>82</v>
      </c>
      <c r="C133" s="38" t="s">
        <v>21</v>
      </c>
      <c r="D133" s="35">
        <v>37</v>
      </c>
      <c r="E133" s="35">
        <v>6000</v>
      </c>
      <c r="F133" s="35">
        <v>19</v>
      </c>
      <c r="G133" s="38">
        <v>3</v>
      </c>
      <c r="H133" s="34" t="s">
        <v>194</v>
      </c>
      <c r="I133" s="34">
        <v>6</v>
      </c>
      <c r="J133" s="34">
        <v>5</v>
      </c>
      <c r="K133" s="34" t="s">
        <v>275</v>
      </c>
      <c r="L133" s="34" t="s">
        <v>158</v>
      </c>
      <c r="M133" s="45" t="s">
        <v>272</v>
      </c>
      <c r="N133" s="35">
        <v>0</v>
      </c>
      <c r="O133" s="51">
        <v>-1.0699999999999363</v>
      </c>
      <c r="P133" s="51">
        <v>-1.0699999999999363</v>
      </c>
      <c r="Q133" s="64">
        <v>1</v>
      </c>
      <c r="R133" s="76">
        <v>3.000196167247386</v>
      </c>
      <c r="S133" s="76">
        <v>3.000196167247386</v>
      </c>
      <c r="T133" s="66">
        <v>2.9240748867990249</v>
      </c>
      <c r="U133" s="67">
        <f t="shared" si="5"/>
        <v>2.9621355270232055</v>
      </c>
      <c r="V133" s="66">
        <v>2.966235152763474</v>
      </c>
    </row>
    <row r="134" spans="1:22">
      <c r="A134" s="32" t="s">
        <v>91</v>
      </c>
      <c r="B134" s="35" t="s">
        <v>82</v>
      </c>
      <c r="C134" s="35" t="s">
        <v>14</v>
      </c>
      <c r="D134" s="35">
        <v>30</v>
      </c>
      <c r="E134" s="35">
        <v>7000</v>
      </c>
      <c r="F134" s="35">
        <v>12</v>
      </c>
      <c r="G134" s="35">
        <v>1</v>
      </c>
      <c r="H134" s="32" t="s">
        <v>197</v>
      </c>
      <c r="I134" s="32">
        <v>1</v>
      </c>
      <c r="J134" s="32">
        <v>1</v>
      </c>
      <c r="K134" s="32" t="s">
        <v>275</v>
      </c>
      <c r="L134" s="32" t="s">
        <v>154</v>
      </c>
      <c r="M134" s="42" t="s">
        <v>297</v>
      </c>
      <c r="N134" s="35">
        <v>0</v>
      </c>
      <c r="O134" s="51">
        <v>5.2739999999999725</v>
      </c>
      <c r="P134" s="51">
        <v>5.2739999999999725</v>
      </c>
      <c r="Q134" s="64">
        <v>1</v>
      </c>
      <c r="R134" s="76">
        <v>3.5280422535211269</v>
      </c>
      <c r="S134" s="76">
        <v>3.5280422535211269</v>
      </c>
      <c r="T134" s="66">
        <v>3.372186983471074</v>
      </c>
      <c r="U134" s="67">
        <f t="shared" si="5"/>
        <v>3.4501146184961007</v>
      </c>
      <c r="V134" s="66">
        <v>3.4518298086606238</v>
      </c>
    </row>
    <row r="135" spans="1:22">
      <c r="A135" s="32" t="s">
        <v>91</v>
      </c>
      <c r="B135" s="35" t="s">
        <v>82</v>
      </c>
      <c r="C135" s="35" t="s">
        <v>14</v>
      </c>
      <c r="D135" s="35">
        <v>30</v>
      </c>
      <c r="E135" s="35">
        <v>7000</v>
      </c>
      <c r="F135" s="35">
        <v>12</v>
      </c>
      <c r="G135" s="35">
        <v>1</v>
      </c>
      <c r="H135" s="32" t="s">
        <v>197</v>
      </c>
      <c r="I135" s="32">
        <v>2</v>
      </c>
      <c r="J135" s="32">
        <v>2</v>
      </c>
      <c r="K135" s="32" t="s">
        <v>276</v>
      </c>
      <c r="L135" s="32" t="s">
        <v>155</v>
      </c>
      <c r="M135" s="42" t="s">
        <v>297</v>
      </c>
      <c r="N135" s="35">
        <v>0</v>
      </c>
      <c r="O135" s="51">
        <v>2.4139999999999873</v>
      </c>
      <c r="P135" s="51">
        <v>2.4139999999999873</v>
      </c>
      <c r="Q135" s="64">
        <v>1</v>
      </c>
      <c r="R135" s="76">
        <v>3.6133176678445231</v>
      </c>
      <c r="S135" s="76">
        <v>3.6133176678445231</v>
      </c>
      <c r="T135" s="66">
        <v>3.4871377060439559</v>
      </c>
      <c r="U135" s="67">
        <f t="shared" si="5"/>
        <v>3.5502276869442397</v>
      </c>
      <c r="V135" s="66">
        <v>3.5494194972826092</v>
      </c>
    </row>
    <row r="136" spans="1:22">
      <c r="A136" s="32" t="s">
        <v>91</v>
      </c>
      <c r="B136" s="35" t="s">
        <v>82</v>
      </c>
      <c r="C136" s="35" t="s">
        <v>14</v>
      </c>
      <c r="D136" s="35">
        <v>30</v>
      </c>
      <c r="E136" s="35">
        <v>7000</v>
      </c>
      <c r="F136" s="35">
        <v>12</v>
      </c>
      <c r="G136" s="35">
        <v>1</v>
      </c>
      <c r="H136" s="32" t="s">
        <v>197</v>
      </c>
      <c r="I136" s="32">
        <v>3</v>
      </c>
      <c r="J136" s="32">
        <v>3</v>
      </c>
      <c r="K136" s="32" t="s">
        <v>275</v>
      </c>
      <c r="L136" s="32" t="s">
        <v>158</v>
      </c>
      <c r="M136" s="42" t="s">
        <v>297</v>
      </c>
      <c r="N136" s="35">
        <v>0</v>
      </c>
      <c r="O136" s="51">
        <v>2.2830000000000155</v>
      </c>
      <c r="P136" s="51">
        <v>2.2830000000000155</v>
      </c>
      <c r="Q136" s="64">
        <v>1</v>
      </c>
      <c r="R136" s="76">
        <v>3.627899133448873</v>
      </c>
      <c r="S136" s="76">
        <v>3.627899133448873</v>
      </c>
      <c r="T136" s="66">
        <v>3.4777019034670298</v>
      </c>
      <c r="U136" s="67">
        <f t="shared" si="5"/>
        <v>3.5528005184579516</v>
      </c>
      <c r="V136" s="66">
        <v>3.550860067114094</v>
      </c>
    </row>
    <row r="137" spans="1:22">
      <c r="A137" s="32" t="s">
        <v>91</v>
      </c>
      <c r="B137" s="35" t="s">
        <v>82</v>
      </c>
      <c r="C137" s="35" t="s">
        <v>14</v>
      </c>
      <c r="D137" s="35">
        <v>30</v>
      </c>
      <c r="E137" s="35">
        <v>7000</v>
      </c>
      <c r="F137" s="35">
        <v>12</v>
      </c>
      <c r="G137" s="35">
        <v>1</v>
      </c>
      <c r="H137" s="32" t="s">
        <v>197</v>
      </c>
      <c r="I137" s="32">
        <v>4</v>
      </c>
      <c r="J137" s="32">
        <v>4</v>
      </c>
      <c r="K137" s="32" t="s">
        <v>276</v>
      </c>
      <c r="L137" s="32" t="s">
        <v>157</v>
      </c>
      <c r="M137" s="42" t="s">
        <v>297</v>
      </c>
      <c r="N137" s="35">
        <v>0</v>
      </c>
      <c r="O137" s="51">
        <v>2.1309999999999718</v>
      </c>
      <c r="P137" s="51">
        <v>2.1309999999999718</v>
      </c>
      <c r="Q137" s="64">
        <v>1</v>
      </c>
      <c r="R137" s="76">
        <v>3.6042477096546861</v>
      </c>
      <c r="S137" s="76">
        <v>3.6042477096546861</v>
      </c>
      <c r="T137" s="66">
        <v>3.448872808525266</v>
      </c>
      <c r="U137" s="67">
        <f t="shared" si="5"/>
        <v>3.5265602590899761</v>
      </c>
      <c r="V137" s="66">
        <v>3.526579196217495</v>
      </c>
    </row>
    <row r="138" spans="1:22">
      <c r="A138" s="32" t="s">
        <v>91</v>
      </c>
      <c r="B138" s="35" t="s">
        <v>82</v>
      </c>
      <c r="C138" s="35" t="s">
        <v>14</v>
      </c>
      <c r="D138" s="35">
        <v>30</v>
      </c>
      <c r="E138" s="35">
        <v>7000</v>
      </c>
      <c r="F138" s="35">
        <v>12</v>
      </c>
      <c r="G138" s="35">
        <v>1</v>
      </c>
      <c r="H138" s="32" t="s">
        <v>197</v>
      </c>
      <c r="I138" s="32">
        <v>5</v>
      </c>
      <c r="K138" s="32" t="s">
        <v>276</v>
      </c>
      <c r="L138" s="32" t="s">
        <v>156</v>
      </c>
      <c r="M138" s="42" t="s">
        <v>297</v>
      </c>
      <c r="N138" s="35">
        <v>0</v>
      </c>
      <c r="O138" s="51"/>
      <c r="P138" s="51"/>
      <c r="Q138" s="64"/>
      <c r="R138" s="76">
        <v>3.8177884087791489</v>
      </c>
      <c r="S138" s="76">
        <v>3.8177884087791489</v>
      </c>
      <c r="T138" s="66">
        <v>3.6464407242910841</v>
      </c>
      <c r="U138" s="67">
        <f t="shared" si="5"/>
        <v>3.7321145665351168</v>
      </c>
      <c r="V138" s="66">
        <v>3.7325525344075201</v>
      </c>
    </row>
    <row r="139" spans="1:22">
      <c r="A139" s="32" t="s">
        <v>91</v>
      </c>
      <c r="B139" s="35" t="s">
        <v>82</v>
      </c>
      <c r="C139" s="35" t="s">
        <v>14</v>
      </c>
      <c r="D139" s="35">
        <v>30</v>
      </c>
      <c r="E139" s="35">
        <v>7000</v>
      </c>
      <c r="F139" s="35">
        <v>12</v>
      </c>
      <c r="G139" s="35">
        <v>1</v>
      </c>
      <c r="H139" s="32" t="s">
        <v>197</v>
      </c>
      <c r="I139" s="32">
        <v>6</v>
      </c>
      <c r="J139" s="32">
        <v>5</v>
      </c>
      <c r="K139" s="32" t="s">
        <v>275</v>
      </c>
      <c r="L139" s="32" t="s">
        <v>153</v>
      </c>
      <c r="M139" s="42" t="s">
        <v>297</v>
      </c>
      <c r="N139" s="35">
        <v>0</v>
      </c>
      <c r="O139" s="51">
        <v>8.2449999999998909</v>
      </c>
      <c r="P139" s="51">
        <v>8.2449999999998909</v>
      </c>
      <c r="Q139" s="64">
        <v>1</v>
      </c>
      <c r="R139" s="76">
        <v>3.533149539333805</v>
      </c>
      <c r="S139" s="76">
        <v>3.533149539333805</v>
      </c>
      <c r="T139" s="66">
        <v>3.3819209610027858</v>
      </c>
      <c r="U139" s="67">
        <f t="shared" si="5"/>
        <v>3.4575352501682954</v>
      </c>
      <c r="V139" s="66">
        <v>3.4607137978142082</v>
      </c>
    </row>
    <row r="140" spans="1:22">
      <c r="A140" s="32" t="s">
        <v>91</v>
      </c>
      <c r="B140" s="35" t="s">
        <v>82</v>
      </c>
      <c r="C140" s="35" t="s">
        <v>22</v>
      </c>
      <c r="D140" s="35">
        <v>30</v>
      </c>
      <c r="E140" s="35">
        <v>7000</v>
      </c>
      <c r="F140" s="35">
        <v>12</v>
      </c>
      <c r="G140" s="35">
        <v>2</v>
      </c>
      <c r="H140" s="32" t="s">
        <v>199</v>
      </c>
      <c r="I140" s="32">
        <v>1</v>
      </c>
      <c r="K140" s="32" t="s">
        <v>276</v>
      </c>
      <c r="L140" s="32" t="s">
        <v>156</v>
      </c>
      <c r="M140" s="42" t="s">
        <v>298</v>
      </c>
      <c r="N140" s="35">
        <v>0</v>
      </c>
      <c r="O140" s="51"/>
      <c r="P140" s="51"/>
      <c r="Q140" s="64"/>
      <c r="R140" s="76">
        <v>3.520122044506258</v>
      </c>
      <c r="S140" s="76">
        <v>3.520122044506258</v>
      </c>
      <c r="T140" s="66">
        <v>3.330757211538462</v>
      </c>
      <c r="U140" s="67">
        <f t="shared" si="5"/>
        <v>3.4254396280223602</v>
      </c>
      <c r="V140" s="66">
        <v>3.4200030282637952</v>
      </c>
    </row>
    <row r="141" spans="1:22">
      <c r="A141" s="32" t="s">
        <v>91</v>
      </c>
      <c r="B141" s="35" t="s">
        <v>82</v>
      </c>
      <c r="C141" s="35" t="s">
        <v>22</v>
      </c>
      <c r="D141" s="35">
        <v>30</v>
      </c>
      <c r="E141" s="35">
        <v>7000</v>
      </c>
      <c r="F141" s="35">
        <v>12</v>
      </c>
      <c r="G141" s="35">
        <v>2</v>
      </c>
      <c r="H141" s="32" t="s">
        <v>199</v>
      </c>
      <c r="I141" s="32">
        <v>2</v>
      </c>
      <c r="J141" s="32">
        <v>1</v>
      </c>
      <c r="K141" s="32" t="s">
        <v>275</v>
      </c>
      <c r="L141" s="32" t="s">
        <v>157</v>
      </c>
      <c r="M141" s="42" t="s">
        <v>298</v>
      </c>
      <c r="N141" s="35">
        <v>0</v>
      </c>
      <c r="O141" s="51">
        <v>7.6700000000000159</v>
      </c>
      <c r="P141" s="51">
        <v>7.6700000000000159</v>
      </c>
      <c r="Q141" s="64">
        <v>1</v>
      </c>
      <c r="R141" s="76">
        <v>3.6471260387811628</v>
      </c>
      <c r="S141" s="76">
        <v>3.6471260387811628</v>
      </c>
      <c r="T141" s="66">
        <v>3.4523651178918171</v>
      </c>
      <c r="U141" s="67">
        <f t="shared" si="5"/>
        <v>3.54974557833649</v>
      </c>
      <c r="V141" s="66">
        <v>3.543139700883752</v>
      </c>
    </row>
    <row r="142" spans="1:22">
      <c r="A142" s="32" t="s">
        <v>91</v>
      </c>
      <c r="B142" s="35" t="s">
        <v>82</v>
      </c>
      <c r="C142" s="35" t="s">
        <v>22</v>
      </c>
      <c r="D142" s="35">
        <v>30</v>
      </c>
      <c r="E142" s="35">
        <v>7000</v>
      </c>
      <c r="F142" s="35">
        <v>12</v>
      </c>
      <c r="G142" s="35">
        <v>2</v>
      </c>
      <c r="H142" s="32" t="s">
        <v>199</v>
      </c>
      <c r="I142" s="32">
        <v>3</v>
      </c>
      <c r="J142" s="32">
        <v>2</v>
      </c>
      <c r="K142" s="32" t="s">
        <v>276</v>
      </c>
      <c r="L142" s="32" t="s">
        <v>153</v>
      </c>
      <c r="M142" s="42" t="s">
        <v>216</v>
      </c>
      <c r="N142" s="35">
        <v>1.6999999999999999E-3</v>
      </c>
      <c r="O142" s="51">
        <v>8.5099999999999909</v>
      </c>
      <c r="P142" s="51">
        <v>8.5099999999999909</v>
      </c>
      <c r="Q142" s="64">
        <v>1</v>
      </c>
      <c r="R142" s="76">
        <v>3.5973979635129401</v>
      </c>
      <c r="S142" s="76">
        <v>3.5973979635129401</v>
      </c>
      <c r="T142" s="66">
        <v>3.4376891415131321</v>
      </c>
      <c r="U142" s="67">
        <f t="shared" si="5"/>
        <v>3.5175435525130361</v>
      </c>
      <c r="V142" s="66">
        <v>3.5116709145427292</v>
      </c>
    </row>
    <row r="143" spans="1:22">
      <c r="A143" s="32" t="s">
        <v>91</v>
      </c>
      <c r="B143" s="35" t="s">
        <v>82</v>
      </c>
      <c r="C143" s="35" t="s">
        <v>22</v>
      </c>
      <c r="D143" s="35">
        <v>30</v>
      </c>
      <c r="E143" s="35">
        <v>7000</v>
      </c>
      <c r="F143" s="35">
        <v>12</v>
      </c>
      <c r="G143" s="35">
        <v>2</v>
      </c>
      <c r="H143" s="32" t="s">
        <v>199</v>
      </c>
      <c r="I143" s="32">
        <v>4</v>
      </c>
      <c r="J143" s="32">
        <v>3</v>
      </c>
      <c r="K143" s="32" t="s">
        <v>276</v>
      </c>
      <c r="L143" s="32" t="s">
        <v>158</v>
      </c>
      <c r="M143" s="42" t="s">
        <v>216</v>
      </c>
      <c r="N143" s="35">
        <v>0</v>
      </c>
      <c r="O143" s="51">
        <v>-0.35000000000002274</v>
      </c>
      <c r="P143" s="51">
        <v>-0.35000000000002274</v>
      </c>
      <c r="Q143" s="64">
        <v>1</v>
      </c>
      <c r="R143" s="76">
        <v>3.4951260901162788</v>
      </c>
      <c r="S143" s="76">
        <v>3.4951260901162788</v>
      </c>
      <c r="T143" s="66">
        <v>3.316000356506239</v>
      </c>
      <c r="U143" s="67">
        <f t="shared" si="5"/>
        <v>3.4055632233112592</v>
      </c>
      <c r="V143" s="66">
        <v>3.4030441585535458</v>
      </c>
    </row>
    <row r="144" spans="1:22">
      <c r="A144" s="32" t="s">
        <v>91</v>
      </c>
      <c r="B144" s="35" t="s">
        <v>82</v>
      </c>
      <c r="C144" s="35" t="s">
        <v>22</v>
      </c>
      <c r="D144" s="35">
        <v>30</v>
      </c>
      <c r="E144" s="35">
        <v>7000</v>
      </c>
      <c r="F144" s="35">
        <v>12</v>
      </c>
      <c r="G144" s="35">
        <v>2</v>
      </c>
      <c r="H144" s="32" t="s">
        <v>199</v>
      </c>
      <c r="I144" s="32">
        <v>5</v>
      </c>
      <c r="J144" s="32">
        <v>4</v>
      </c>
      <c r="K144" s="32" t="s">
        <v>275</v>
      </c>
      <c r="L144" s="32" t="s">
        <v>155</v>
      </c>
      <c r="M144" s="42" t="s">
        <v>216</v>
      </c>
      <c r="N144" s="35">
        <v>0</v>
      </c>
      <c r="O144" s="51">
        <v>1.7799999999999727</v>
      </c>
      <c r="P144" s="51">
        <v>1.7799999999999727</v>
      </c>
      <c r="Q144" s="64">
        <v>1</v>
      </c>
      <c r="R144" s="76">
        <v>3.4257315696649031</v>
      </c>
      <c r="S144" s="76">
        <v>3.4257315696649031</v>
      </c>
      <c r="T144" s="66">
        <v>3.2788042802899549</v>
      </c>
      <c r="U144" s="67">
        <f t="shared" si="5"/>
        <v>3.3522679249774292</v>
      </c>
      <c r="V144" s="66">
        <v>3.350135869565217</v>
      </c>
    </row>
    <row r="145" spans="1:22">
      <c r="A145" s="32" t="s">
        <v>91</v>
      </c>
      <c r="B145" s="35" t="s">
        <v>82</v>
      </c>
      <c r="C145" s="35" t="s">
        <v>22</v>
      </c>
      <c r="D145" s="35">
        <v>30</v>
      </c>
      <c r="E145" s="35">
        <v>7000</v>
      </c>
      <c r="F145" s="35">
        <v>12</v>
      </c>
      <c r="G145" s="35">
        <v>2</v>
      </c>
      <c r="H145" s="32" t="s">
        <v>199</v>
      </c>
      <c r="I145" s="32">
        <v>6</v>
      </c>
      <c r="J145" s="32">
        <v>5</v>
      </c>
      <c r="K145" s="32" t="s">
        <v>275</v>
      </c>
      <c r="L145" s="32" t="s">
        <v>154</v>
      </c>
      <c r="M145" s="42" t="s">
        <v>216</v>
      </c>
      <c r="N145" s="35">
        <v>0</v>
      </c>
      <c r="O145" s="51">
        <v>8.7000000000000455</v>
      </c>
      <c r="P145" s="51">
        <v>8.7000000000000455</v>
      </c>
      <c r="Q145" s="64">
        <v>1</v>
      </c>
      <c r="R145" s="76">
        <v>3.3997773094485431</v>
      </c>
      <c r="S145" s="76">
        <v>3.3997773094485431</v>
      </c>
      <c r="T145" s="66">
        <v>3.2619890185312279</v>
      </c>
      <c r="U145" s="67">
        <f t="shared" si="5"/>
        <v>3.3308831639898857</v>
      </c>
      <c r="V145" s="66">
        <v>3.3290982658959538</v>
      </c>
    </row>
    <row r="146" spans="1:22">
      <c r="A146" s="32" t="s">
        <v>91</v>
      </c>
      <c r="B146" s="35" t="s">
        <v>82</v>
      </c>
      <c r="C146" s="35" t="s">
        <v>21</v>
      </c>
      <c r="D146" s="35">
        <v>30</v>
      </c>
      <c r="E146" s="35">
        <v>7000</v>
      </c>
      <c r="F146" s="35">
        <v>12</v>
      </c>
      <c r="G146" s="35">
        <v>3</v>
      </c>
      <c r="H146" s="32" t="s">
        <v>194</v>
      </c>
      <c r="I146" s="32">
        <v>1</v>
      </c>
      <c r="J146" s="32">
        <v>1</v>
      </c>
      <c r="K146" s="32" t="s">
        <v>275</v>
      </c>
      <c r="L146" s="32" t="s">
        <v>153</v>
      </c>
      <c r="M146" s="42" t="s">
        <v>299</v>
      </c>
      <c r="N146" s="35">
        <v>0</v>
      </c>
      <c r="O146" s="51">
        <v>1.9209999999999923</v>
      </c>
      <c r="P146" s="51">
        <v>1.9209999999999923</v>
      </c>
      <c r="Q146" s="64">
        <v>1</v>
      </c>
      <c r="R146" s="76">
        <v>3.4928988449422471</v>
      </c>
      <c r="S146" s="76">
        <v>3.4928988449422471</v>
      </c>
      <c r="T146" s="66">
        <v>3.359155709342561</v>
      </c>
      <c r="U146" s="67">
        <f t="shared" si="5"/>
        <v>3.4260272771424041</v>
      </c>
      <c r="V146" s="66">
        <v>3.4254670536019121</v>
      </c>
    </row>
    <row r="147" spans="1:22">
      <c r="A147" s="32" t="s">
        <v>91</v>
      </c>
      <c r="B147" s="35" t="s">
        <v>82</v>
      </c>
      <c r="C147" s="35" t="s">
        <v>21</v>
      </c>
      <c r="D147" s="35">
        <v>30</v>
      </c>
      <c r="E147" s="35">
        <v>7000</v>
      </c>
      <c r="F147" s="35">
        <v>12</v>
      </c>
      <c r="G147" s="35">
        <v>3</v>
      </c>
      <c r="H147" s="32" t="s">
        <v>194</v>
      </c>
      <c r="I147" s="32">
        <v>2</v>
      </c>
      <c r="J147" s="32">
        <v>2</v>
      </c>
      <c r="K147" s="32" t="s">
        <v>276</v>
      </c>
      <c r="L147" s="32" t="s">
        <v>154</v>
      </c>
      <c r="M147" s="42" t="s">
        <v>299</v>
      </c>
      <c r="N147" s="35">
        <v>0</v>
      </c>
      <c r="O147" s="51">
        <v>3.2000000000000455</v>
      </c>
      <c r="P147" s="51">
        <v>3.2000000000000455</v>
      </c>
      <c r="Q147" s="64">
        <v>1</v>
      </c>
      <c r="R147" s="76">
        <v>3.3694167244968769</v>
      </c>
      <c r="S147" s="76">
        <v>3.3694167244968769</v>
      </c>
      <c r="T147" s="66">
        <v>3.2505100834492349</v>
      </c>
      <c r="U147" s="67">
        <f t="shared" si="5"/>
        <v>3.3099634039730557</v>
      </c>
      <c r="V147" s="66">
        <v>3.3075020270270259</v>
      </c>
    </row>
    <row r="148" spans="1:22">
      <c r="A148" s="32" t="s">
        <v>91</v>
      </c>
      <c r="B148" s="35" t="s">
        <v>82</v>
      </c>
      <c r="C148" s="35" t="s">
        <v>21</v>
      </c>
      <c r="D148" s="35">
        <v>30</v>
      </c>
      <c r="E148" s="35">
        <v>7000</v>
      </c>
      <c r="F148" s="35">
        <v>12</v>
      </c>
      <c r="G148" s="35">
        <v>3</v>
      </c>
      <c r="H148" s="32" t="s">
        <v>194</v>
      </c>
      <c r="I148" s="32">
        <v>3</v>
      </c>
      <c r="J148" s="32">
        <v>3</v>
      </c>
      <c r="K148" s="32" t="s">
        <v>276</v>
      </c>
      <c r="L148" s="32" t="s">
        <v>155</v>
      </c>
      <c r="M148" s="42" t="s">
        <v>206</v>
      </c>
      <c r="N148" s="35">
        <v>0</v>
      </c>
      <c r="O148" s="51">
        <v>3.72199999999998</v>
      </c>
      <c r="P148" s="51">
        <v>3.72199999999998</v>
      </c>
      <c r="Q148" s="64">
        <v>1</v>
      </c>
      <c r="R148" s="76">
        <v>3.3266491849751949</v>
      </c>
      <c r="S148" s="76">
        <v>3.3266491849751949</v>
      </c>
      <c r="T148" s="66">
        <v>3.2286176885130371</v>
      </c>
      <c r="U148" s="67">
        <f t="shared" si="5"/>
        <v>3.2776334367441162</v>
      </c>
      <c r="V148" s="66">
        <v>3.2802861044725158</v>
      </c>
    </row>
    <row r="149" spans="1:22">
      <c r="A149" s="32" t="s">
        <v>91</v>
      </c>
      <c r="B149" s="35" t="s">
        <v>82</v>
      </c>
      <c r="C149" s="35" t="s">
        <v>21</v>
      </c>
      <c r="D149" s="35">
        <v>30</v>
      </c>
      <c r="E149" s="35">
        <v>7000</v>
      </c>
      <c r="F149" s="35">
        <v>12</v>
      </c>
      <c r="G149" s="35">
        <v>3</v>
      </c>
      <c r="H149" s="32" t="s">
        <v>194</v>
      </c>
      <c r="I149" s="32">
        <v>4</v>
      </c>
      <c r="K149" s="32" t="s">
        <v>275</v>
      </c>
      <c r="L149" s="32" t="s">
        <v>156</v>
      </c>
      <c r="M149" s="42" t="s">
        <v>206</v>
      </c>
      <c r="N149" s="35">
        <v>0</v>
      </c>
      <c r="O149" s="51"/>
      <c r="P149" s="51"/>
      <c r="Q149" s="64"/>
      <c r="R149" s="76">
        <v>3.3788863876187119</v>
      </c>
      <c r="S149" s="76">
        <v>3.3788863876187119</v>
      </c>
      <c r="T149" s="66">
        <v>3.2454331813398811</v>
      </c>
      <c r="U149" s="67">
        <f t="shared" si="5"/>
        <v>3.3121597844792965</v>
      </c>
      <c r="V149" s="66">
        <v>3.309571379310345</v>
      </c>
    </row>
    <row r="150" spans="1:22">
      <c r="A150" s="32" t="s">
        <v>91</v>
      </c>
      <c r="B150" s="35" t="s">
        <v>82</v>
      </c>
      <c r="C150" s="35" t="s">
        <v>21</v>
      </c>
      <c r="D150" s="35">
        <v>30</v>
      </c>
      <c r="E150" s="35">
        <v>7000</v>
      </c>
      <c r="F150" s="35">
        <v>12</v>
      </c>
      <c r="G150" s="35">
        <v>3</v>
      </c>
      <c r="H150" s="32" t="s">
        <v>194</v>
      </c>
      <c r="I150" s="32">
        <v>5</v>
      </c>
      <c r="J150" s="32">
        <v>4</v>
      </c>
      <c r="K150" s="32" t="s">
        <v>276</v>
      </c>
      <c r="L150" s="32" t="s">
        <v>157</v>
      </c>
      <c r="M150" s="42" t="s">
        <v>206</v>
      </c>
      <c r="N150" s="35">
        <v>0</v>
      </c>
      <c r="O150" s="51">
        <v>2.7139999999999418</v>
      </c>
      <c r="P150" s="51">
        <v>2.7139999999999418</v>
      </c>
      <c r="Q150" s="64">
        <v>1</v>
      </c>
      <c r="R150" s="76">
        <v>3.4663110236220471</v>
      </c>
      <c r="S150" s="76">
        <v>3.4663110236220471</v>
      </c>
      <c r="T150" s="66">
        <v>3.2749472939511848</v>
      </c>
      <c r="U150" s="67">
        <f t="shared" si="5"/>
        <v>3.370629158786616</v>
      </c>
      <c r="V150" s="66">
        <v>3.3658018018018012</v>
      </c>
    </row>
    <row r="151" spans="1:22">
      <c r="A151" s="32" t="s">
        <v>91</v>
      </c>
      <c r="B151" s="35" t="s">
        <v>82</v>
      </c>
      <c r="C151" s="35" t="s">
        <v>21</v>
      </c>
      <c r="D151" s="35">
        <v>30</v>
      </c>
      <c r="E151" s="35">
        <v>7000</v>
      </c>
      <c r="F151" s="35">
        <v>12</v>
      </c>
      <c r="G151" s="35">
        <v>3</v>
      </c>
      <c r="H151" s="32" t="s">
        <v>194</v>
      </c>
      <c r="I151" s="32">
        <v>6</v>
      </c>
      <c r="J151" s="32">
        <v>5</v>
      </c>
      <c r="K151" s="32" t="s">
        <v>275</v>
      </c>
      <c r="L151" s="32" t="s">
        <v>158</v>
      </c>
      <c r="M151" s="42" t="s">
        <v>206</v>
      </c>
      <c r="N151" s="35">
        <v>0</v>
      </c>
      <c r="O151" s="51">
        <v>-1.1600000000000819</v>
      </c>
      <c r="P151" s="51">
        <v>-1.1600000000000819</v>
      </c>
      <c r="Q151" s="64">
        <v>1</v>
      </c>
      <c r="R151" s="76">
        <v>3.4275536558748629</v>
      </c>
      <c r="S151" s="76">
        <v>3.4275536558748629</v>
      </c>
      <c r="T151" s="66">
        <v>3.2509473872584111</v>
      </c>
      <c r="U151" s="67">
        <f t="shared" si="5"/>
        <v>3.3392505215666368</v>
      </c>
      <c r="V151" s="66">
        <v>3.3345175718849842</v>
      </c>
    </row>
    <row r="152" spans="1:22">
      <c r="A152" s="32" t="s">
        <v>105</v>
      </c>
      <c r="B152" s="35" t="s">
        <v>66</v>
      </c>
      <c r="C152" s="35" t="s">
        <v>22</v>
      </c>
      <c r="D152" s="35">
        <v>40</v>
      </c>
      <c r="E152" s="35">
        <v>5000</v>
      </c>
      <c r="F152" s="35">
        <v>15</v>
      </c>
      <c r="G152" s="35">
        <v>1</v>
      </c>
      <c r="H152" s="32" t="s">
        <v>197</v>
      </c>
      <c r="I152" s="32">
        <v>1</v>
      </c>
      <c r="J152" s="32">
        <v>1</v>
      </c>
      <c r="K152" s="32" t="s">
        <v>275</v>
      </c>
      <c r="L152" s="32" t="s">
        <v>154</v>
      </c>
      <c r="M152" s="42" t="s">
        <v>339</v>
      </c>
      <c r="N152" s="35">
        <v>0</v>
      </c>
      <c r="O152" s="51">
        <v>10.302999999999997</v>
      </c>
      <c r="P152" s="51">
        <v>10.302999999999997</v>
      </c>
      <c r="Q152" s="64">
        <v>1</v>
      </c>
      <c r="R152" s="76">
        <v>3.5391008742434429</v>
      </c>
      <c r="S152" s="76">
        <v>3.5391008742434429</v>
      </c>
      <c r="T152" s="66">
        <v>3.3853293958825512</v>
      </c>
      <c r="U152" s="67">
        <f t="shared" si="5"/>
        <v>3.4622151350629968</v>
      </c>
      <c r="V152" s="66">
        <v>3.46347235176549</v>
      </c>
    </row>
    <row r="153" spans="1:22">
      <c r="A153" s="32" t="s">
        <v>105</v>
      </c>
      <c r="B153" s="35" t="s">
        <v>66</v>
      </c>
      <c r="C153" s="35" t="s">
        <v>22</v>
      </c>
      <c r="D153" s="35">
        <v>40</v>
      </c>
      <c r="E153" s="35">
        <v>5000</v>
      </c>
      <c r="F153" s="35">
        <v>15</v>
      </c>
      <c r="G153" s="35">
        <v>1</v>
      </c>
      <c r="H153" s="32" t="s">
        <v>197</v>
      </c>
      <c r="I153" s="32">
        <v>2</v>
      </c>
      <c r="J153" s="32">
        <v>2</v>
      </c>
      <c r="K153" s="32" t="s">
        <v>276</v>
      </c>
      <c r="L153" s="32" t="s">
        <v>155</v>
      </c>
      <c r="M153" s="42" t="s">
        <v>339</v>
      </c>
      <c r="N153" s="35">
        <v>0</v>
      </c>
      <c r="O153" s="51">
        <v>4.67999999999995</v>
      </c>
      <c r="P153" s="51">
        <v>4.67999999999995</v>
      </c>
      <c r="Q153" s="64">
        <v>1</v>
      </c>
      <c r="R153" s="76">
        <v>3.2593073270013559</v>
      </c>
      <c r="S153" s="76">
        <v>3.2593073270013559</v>
      </c>
      <c r="T153" s="66">
        <v>3.1588974709501021</v>
      </c>
      <c r="U153" s="67">
        <f t="shared" si="5"/>
        <v>3.209102398975729</v>
      </c>
      <c r="V153" s="66">
        <v>3.212298657718121</v>
      </c>
    </row>
    <row r="154" spans="1:22">
      <c r="A154" s="32" t="s">
        <v>105</v>
      </c>
      <c r="B154" s="35" t="s">
        <v>66</v>
      </c>
      <c r="C154" s="35" t="s">
        <v>22</v>
      </c>
      <c r="D154" s="35">
        <v>40</v>
      </c>
      <c r="E154" s="35">
        <v>5000</v>
      </c>
      <c r="F154" s="35">
        <v>15</v>
      </c>
      <c r="G154" s="35">
        <v>1</v>
      </c>
      <c r="H154" s="32" t="s">
        <v>197</v>
      </c>
      <c r="I154" s="32">
        <v>3</v>
      </c>
      <c r="J154" s="32">
        <v>3</v>
      </c>
      <c r="K154" s="32" t="s">
        <v>275</v>
      </c>
      <c r="L154" s="32" t="s">
        <v>158</v>
      </c>
      <c r="M154" s="42" t="s">
        <v>339</v>
      </c>
      <c r="N154" s="35">
        <v>0</v>
      </c>
      <c r="O154" s="51">
        <v>4.3499999999999091</v>
      </c>
      <c r="P154" s="51">
        <v>4.3499999999999091</v>
      </c>
      <c r="Q154" s="64">
        <v>1</v>
      </c>
      <c r="R154" s="76">
        <v>3.4002629989936262</v>
      </c>
      <c r="S154" s="76">
        <v>3.4002629989936262</v>
      </c>
      <c r="T154" s="66">
        <v>3.272086473755047</v>
      </c>
      <c r="U154" s="67">
        <f t="shared" si="5"/>
        <v>3.3361747363743364</v>
      </c>
      <c r="V154" s="66">
        <v>3.336579933110368</v>
      </c>
    </row>
    <row r="155" spans="1:22">
      <c r="A155" s="32" t="s">
        <v>105</v>
      </c>
      <c r="B155" s="35" t="s">
        <v>66</v>
      </c>
      <c r="C155" s="35" t="s">
        <v>22</v>
      </c>
      <c r="D155" s="35">
        <v>40</v>
      </c>
      <c r="E155" s="35">
        <v>5000</v>
      </c>
      <c r="F155" s="35">
        <v>15</v>
      </c>
      <c r="G155" s="35">
        <v>1</v>
      </c>
      <c r="H155" s="32" t="s">
        <v>197</v>
      </c>
      <c r="I155" s="32">
        <v>4</v>
      </c>
      <c r="J155" s="32">
        <v>4</v>
      </c>
      <c r="K155" s="32" t="s">
        <v>276</v>
      </c>
      <c r="L155" s="32" t="s">
        <v>157</v>
      </c>
      <c r="M155" s="42" t="s">
        <v>339</v>
      </c>
      <c r="N155" s="35">
        <v>0</v>
      </c>
      <c r="O155" s="51">
        <v>5.8299999999999272</v>
      </c>
      <c r="P155" s="51">
        <v>5.8299999999999272</v>
      </c>
      <c r="Q155" s="64">
        <v>1</v>
      </c>
      <c r="R155" s="76">
        <v>3.2936262487082328</v>
      </c>
      <c r="S155" s="76">
        <v>3.2936262487082328</v>
      </c>
      <c r="T155" s="66">
        <v>3.1987341994382019</v>
      </c>
      <c r="U155" s="67">
        <f t="shared" si="5"/>
        <v>3.2461802240732176</v>
      </c>
      <c r="V155" s="66">
        <v>3.2492603850050661</v>
      </c>
    </row>
    <row r="156" spans="1:22">
      <c r="A156" s="32" t="s">
        <v>105</v>
      </c>
      <c r="B156" s="35" t="s">
        <v>66</v>
      </c>
      <c r="C156" s="35" t="s">
        <v>22</v>
      </c>
      <c r="D156" s="35">
        <v>40</v>
      </c>
      <c r="E156" s="35">
        <v>5000</v>
      </c>
      <c r="F156" s="35">
        <v>15</v>
      </c>
      <c r="G156" s="35">
        <v>1</v>
      </c>
      <c r="H156" s="32" t="s">
        <v>197</v>
      </c>
      <c r="I156" s="32">
        <v>5</v>
      </c>
      <c r="K156" s="32" t="s">
        <v>276</v>
      </c>
      <c r="L156" s="32" t="s">
        <v>156</v>
      </c>
      <c r="M156" s="42" t="s">
        <v>339</v>
      </c>
      <c r="N156" s="35"/>
      <c r="O156" s="51"/>
      <c r="P156" s="51"/>
      <c r="Q156" s="64"/>
      <c r="R156" s="76">
        <v>4.4329999999999998</v>
      </c>
      <c r="S156" s="76">
        <v>4.4329999999999998</v>
      </c>
      <c r="T156" s="66">
        <v>4.0949999999999998</v>
      </c>
      <c r="U156" s="67">
        <f t="shared" si="5"/>
        <v>4.2639999999999993</v>
      </c>
      <c r="V156" s="66">
        <v>4.2640000000000002</v>
      </c>
    </row>
    <row r="157" spans="1:22">
      <c r="A157" s="32" t="s">
        <v>105</v>
      </c>
      <c r="B157" s="35" t="s">
        <v>66</v>
      </c>
      <c r="C157" s="35" t="s">
        <v>22</v>
      </c>
      <c r="D157" s="35">
        <v>40</v>
      </c>
      <c r="E157" s="35">
        <v>5000</v>
      </c>
      <c r="F157" s="35">
        <v>15</v>
      </c>
      <c r="G157" s="35">
        <v>1</v>
      </c>
      <c r="H157" s="32" t="s">
        <v>197</v>
      </c>
      <c r="I157" s="32">
        <v>6</v>
      </c>
      <c r="J157" s="32">
        <v>5</v>
      </c>
      <c r="K157" s="32" t="s">
        <v>275</v>
      </c>
      <c r="L157" s="32" t="s">
        <v>153</v>
      </c>
      <c r="M157" s="42" t="s">
        <v>339</v>
      </c>
      <c r="N157" s="35">
        <v>0</v>
      </c>
      <c r="O157" s="51">
        <v>4.8229999999998654</v>
      </c>
      <c r="P157" s="51">
        <v>4.8229999999998654</v>
      </c>
      <c r="Q157" s="64">
        <v>1</v>
      </c>
      <c r="R157" s="76">
        <v>3.3855132328308208</v>
      </c>
      <c r="S157" s="76">
        <v>3.3855132328308208</v>
      </c>
      <c r="T157" s="66">
        <v>3.247118781725888</v>
      </c>
      <c r="U157" s="67">
        <f t="shared" si="5"/>
        <v>3.3163160072783544</v>
      </c>
      <c r="V157" s="66">
        <v>3.31698998998999</v>
      </c>
    </row>
    <row r="158" spans="1:22">
      <c r="A158" s="32" t="s">
        <v>105</v>
      </c>
      <c r="B158" s="35" t="s">
        <v>66</v>
      </c>
      <c r="C158" s="35" t="s">
        <v>21</v>
      </c>
      <c r="D158" s="35">
        <v>40</v>
      </c>
      <c r="E158" s="35">
        <v>5000</v>
      </c>
      <c r="F158" s="35">
        <v>15</v>
      </c>
      <c r="G158" s="35">
        <v>2</v>
      </c>
      <c r="H158" s="32" t="s">
        <v>199</v>
      </c>
      <c r="I158" s="32">
        <v>1</v>
      </c>
      <c r="K158" s="32" t="s">
        <v>276</v>
      </c>
      <c r="L158" s="32" t="s">
        <v>156</v>
      </c>
      <c r="M158" s="42" t="s">
        <v>340</v>
      </c>
      <c r="N158" s="35"/>
      <c r="O158" s="51"/>
      <c r="P158" s="51"/>
      <c r="Q158" s="64"/>
      <c r="R158" s="76">
        <v>4.6059999999999999</v>
      </c>
      <c r="S158" s="76">
        <v>4.6059999999999999</v>
      </c>
      <c r="T158" s="66">
        <v>4.1260000000000003</v>
      </c>
      <c r="U158" s="67">
        <f t="shared" ref="U158:U180" si="6">AVERAGE(S158:T158)</f>
        <v>4.3659999999999997</v>
      </c>
      <c r="V158" s="66">
        <v>4.3659999999999997</v>
      </c>
    </row>
    <row r="159" spans="1:22">
      <c r="A159" s="32" t="s">
        <v>105</v>
      </c>
      <c r="B159" s="35" t="s">
        <v>66</v>
      </c>
      <c r="C159" s="35" t="s">
        <v>21</v>
      </c>
      <c r="D159" s="35">
        <v>40</v>
      </c>
      <c r="E159" s="35">
        <v>5000</v>
      </c>
      <c r="F159" s="35">
        <v>15</v>
      </c>
      <c r="G159" s="35">
        <v>2</v>
      </c>
      <c r="H159" s="32" t="s">
        <v>199</v>
      </c>
      <c r="I159" s="32">
        <v>2</v>
      </c>
      <c r="J159" s="32">
        <v>1</v>
      </c>
      <c r="K159" s="32" t="s">
        <v>275</v>
      </c>
      <c r="L159" s="32" t="s">
        <v>157</v>
      </c>
      <c r="M159" s="42" t="s">
        <v>340</v>
      </c>
      <c r="N159" s="35">
        <v>0</v>
      </c>
      <c r="O159" s="51">
        <v>1.7599999999999909</v>
      </c>
      <c r="P159" s="51">
        <v>1.7599999999999909</v>
      </c>
      <c r="Q159" s="64">
        <v>1</v>
      </c>
      <c r="R159" s="76">
        <v>3.4080834747200539</v>
      </c>
      <c r="S159" s="76">
        <v>3.4080834747200539</v>
      </c>
      <c r="T159" s="66">
        <v>3.2487421678069861</v>
      </c>
      <c r="U159" s="67">
        <f t="shared" si="6"/>
        <v>3.32841282126352</v>
      </c>
      <c r="V159" s="66">
        <v>3.330454697986577</v>
      </c>
    </row>
    <row r="160" spans="1:22">
      <c r="A160" s="32" t="s">
        <v>105</v>
      </c>
      <c r="B160" s="35" t="s">
        <v>66</v>
      </c>
      <c r="C160" s="35" t="s">
        <v>21</v>
      </c>
      <c r="D160" s="35">
        <v>40</v>
      </c>
      <c r="E160" s="35">
        <v>5000</v>
      </c>
      <c r="F160" s="35">
        <v>15</v>
      </c>
      <c r="G160" s="35">
        <v>2</v>
      </c>
      <c r="H160" s="32" t="s">
        <v>199</v>
      </c>
      <c r="I160" s="32">
        <v>3</v>
      </c>
      <c r="J160" s="32">
        <v>2</v>
      </c>
      <c r="K160" s="32" t="s">
        <v>276</v>
      </c>
      <c r="L160" s="32" t="s">
        <v>153</v>
      </c>
      <c r="M160" s="42" t="s">
        <v>262</v>
      </c>
      <c r="N160" s="35">
        <v>0</v>
      </c>
      <c r="O160" s="51">
        <v>5.4599999999999227</v>
      </c>
      <c r="P160" s="51">
        <v>5.4599999999999227</v>
      </c>
      <c r="Q160" s="64">
        <v>1</v>
      </c>
      <c r="R160" s="76">
        <v>3.5421812500000001</v>
      </c>
      <c r="S160" s="76">
        <v>3.5421812500000001</v>
      </c>
      <c r="T160" s="66">
        <v>3.3062973964063072</v>
      </c>
      <c r="U160" s="67">
        <f t="shared" si="6"/>
        <v>3.4242393232031536</v>
      </c>
      <c r="V160" s="66">
        <v>3.4388763477088951</v>
      </c>
    </row>
    <row r="161" spans="1:22">
      <c r="A161" s="32" t="s">
        <v>105</v>
      </c>
      <c r="B161" s="35" t="s">
        <v>66</v>
      </c>
      <c r="C161" s="35" t="s">
        <v>21</v>
      </c>
      <c r="D161" s="35">
        <v>40</v>
      </c>
      <c r="E161" s="35">
        <v>5000</v>
      </c>
      <c r="F161" s="35">
        <v>15</v>
      </c>
      <c r="G161" s="35">
        <v>2</v>
      </c>
      <c r="H161" s="32" t="s">
        <v>199</v>
      </c>
      <c r="I161" s="32">
        <v>4</v>
      </c>
      <c r="J161" s="32">
        <v>3</v>
      </c>
      <c r="K161" s="32" t="s">
        <v>276</v>
      </c>
      <c r="L161" s="32" t="s">
        <v>158</v>
      </c>
      <c r="M161" s="42" t="s">
        <v>262</v>
      </c>
      <c r="N161" s="35">
        <v>0</v>
      </c>
      <c r="O161" s="51">
        <v>2.4400000000000546</v>
      </c>
      <c r="P161" s="51">
        <v>2.4400000000000546</v>
      </c>
      <c r="Q161" s="64">
        <v>1</v>
      </c>
      <c r="R161" s="76">
        <v>3.4429832831828819</v>
      </c>
      <c r="S161" s="76">
        <v>3.4429832831828819</v>
      </c>
      <c r="T161" s="66">
        <v>3.248125334224599</v>
      </c>
      <c r="U161" s="67">
        <f t="shared" si="6"/>
        <v>3.3455543087037407</v>
      </c>
      <c r="V161" s="66">
        <v>3.3460324089542262</v>
      </c>
    </row>
    <row r="162" spans="1:22">
      <c r="A162" s="32" t="s">
        <v>105</v>
      </c>
      <c r="B162" s="35" t="s">
        <v>66</v>
      </c>
      <c r="C162" s="35" t="s">
        <v>21</v>
      </c>
      <c r="D162" s="35">
        <v>40</v>
      </c>
      <c r="E162" s="35">
        <v>5000</v>
      </c>
      <c r="F162" s="35">
        <v>15</v>
      </c>
      <c r="G162" s="35">
        <v>2</v>
      </c>
      <c r="H162" s="32" t="s">
        <v>199</v>
      </c>
      <c r="I162" s="32">
        <v>5</v>
      </c>
      <c r="J162" s="32">
        <v>4</v>
      </c>
      <c r="K162" s="32" t="s">
        <v>275</v>
      </c>
      <c r="L162" s="32" t="s">
        <v>155</v>
      </c>
      <c r="M162" s="42" t="s">
        <v>262</v>
      </c>
      <c r="N162" s="35">
        <v>0</v>
      </c>
      <c r="O162" s="51" t="s">
        <v>395</v>
      </c>
      <c r="P162" s="51"/>
      <c r="Q162" s="64">
        <v>0</v>
      </c>
      <c r="R162" s="76">
        <v>3.6049271777003482</v>
      </c>
      <c r="S162" s="76">
        <v>3.6049271777003482</v>
      </c>
      <c r="T162" s="66">
        <v>3.349565837600585</v>
      </c>
      <c r="U162" s="67">
        <f t="shared" si="6"/>
        <v>3.4772465076504666</v>
      </c>
      <c r="V162" s="66">
        <v>3.4923826291079809</v>
      </c>
    </row>
    <row r="163" spans="1:22">
      <c r="A163" s="32" t="s">
        <v>105</v>
      </c>
      <c r="B163" s="35" t="s">
        <v>66</v>
      </c>
      <c r="C163" s="35" t="s">
        <v>21</v>
      </c>
      <c r="D163" s="35">
        <v>40</v>
      </c>
      <c r="E163" s="35">
        <v>5000</v>
      </c>
      <c r="F163" s="35">
        <v>15</v>
      </c>
      <c r="G163" s="35">
        <v>2</v>
      </c>
      <c r="H163" s="32" t="s">
        <v>199</v>
      </c>
      <c r="I163" s="32">
        <v>6</v>
      </c>
      <c r="J163" s="32">
        <v>5</v>
      </c>
      <c r="K163" s="32" t="s">
        <v>275</v>
      </c>
      <c r="L163" s="32" t="s">
        <v>154</v>
      </c>
      <c r="M163" s="42" t="s">
        <v>262</v>
      </c>
      <c r="N163" s="35">
        <v>0</v>
      </c>
      <c r="O163" s="51">
        <v>11.950000000000045</v>
      </c>
      <c r="P163" s="51">
        <v>11.950000000000045</v>
      </c>
      <c r="Q163" s="64">
        <v>1</v>
      </c>
      <c r="R163" s="76">
        <v>3.665565585331453</v>
      </c>
      <c r="S163" s="76">
        <v>3.665565585331453</v>
      </c>
      <c r="T163" s="66">
        <v>3.4097574311926611</v>
      </c>
      <c r="U163" s="67">
        <f t="shared" si="6"/>
        <v>3.5376615082620573</v>
      </c>
      <c r="V163" s="66">
        <v>3.5486665524331742</v>
      </c>
    </row>
    <row r="164" spans="1:22">
      <c r="A164" s="32" t="s">
        <v>105</v>
      </c>
      <c r="B164" s="35" t="s">
        <v>66</v>
      </c>
      <c r="C164" s="35" t="s">
        <v>14</v>
      </c>
      <c r="D164" s="35">
        <v>40</v>
      </c>
      <c r="E164" s="35">
        <v>5000</v>
      </c>
      <c r="F164" s="35">
        <v>15</v>
      </c>
      <c r="G164" s="35">
        <v>3</v>
      </c>
      <c r="H164" s="32" t="s">
        <v>194</v>
      </c>
      <c r="I164" s="32">
        <v>1</v>
      </c>
      <c r="J164" s="32">
        <v>1</v>
      </c>
      <c r="K164" s="32" t="s">
        <v>275</v>
      </c>
      <c r="L164" s="32" t="s">
        <v>153</v>
      </c>
      <c r="M164" s="42" t="s">
        <v>341</v>
      </c>
      <c r="N164" s="35">
        <v>0</v>
      </c>
      <c r="O164" s="51">
        <v>11.09899999999999</v>
      </c>
      <c r="P164" s="51">
        <v>11.09899999999999</v>
      </c>
      <c r="Q164" s="64">
        <v>1</v>
      </c>
      <c r="R164" s="76">
        <v>3.53918718381113</v>
      </c>
      <c r="S164" s="76">
        <v>3.53918718381113</v>
      </c>
      <c r="T164" s="66">
        <v>3.429101321585903</v>
      </c>
      <c r="U164" s="67">
        <f t="shared" si="6"/>
        <v>3.4841442526985165</v>
      </c>
      <c r="V164" s="66">
        <v>3.485326326326327</v>
      </c>
    </row>
    <row r="165" spans="1:22">
      <c r="A165" s="32" t="s">
        <v>105</v>
      </c>
      <c r="B165" s="35" t="s">
        <v>66</v>
      </c>
      <c r="C165" s="35" t="s">
        <v>14</v>
      </c>
      <c r="D165" s="35">
        <v>40</v>
      </c>
      <c r="E165" s="35">
        <v>5000</v>
      </c>
      <c r="F165" s="35">
        <v>15</v>
      </c>
      <c r="G165" s="35">
        <v>3</v>
      </c>
      <c r="H165" s="32" t="s">
        <v>194</v>
      </c>
      <c r="I165" s="32">
        <v>2</v>
      </c>
      <c r="J165" s="32">
        <v>2</v>
      </c>
      <c r="K165" s="32" t="s">
        <v>276</v>
      </c>
      <c r="L165" s="32" t="s">
        <v>154</v>
      </c>
      <c r="M165" s="42" t="s">
        <v>341</v>
      </c>
      <c r="N165" s="35">
        <v>0</v>
      </c>
      <c r="O165" s="51">
        <v>4.5049999999999955</v>
      </c>
      <c r="P165" s="51">
        <v>4.5049999999999955</v>
      </c>
      <c r="Q165" s="64">
        <v>1</v>
      </c>
      <c r="R165" s="76">
        <v>3.3851593665768189</v>
      </c>
      <c r="S165" s="76">
        <v>3.3851593665768189</v>
      </c>
      <c r="T165" s="66">
        <v>3.23786426874788</v>
      </c>
      <c r="U165" s="67">
        <f t="shared" si="6"/>
        <v>3.3115118176623497</v>
      </c>
      <c r="V165" s="66">
        <v>3.3136401603742072</v>
      </c>
    </row>
    <row r="166" spans="1:22">
      <c r="A166" s="32" t="s">
        <v>105</v>
      </c>
      <c r="B166" s="35" t="s">
        <v>66</v>
      </c>
      <c r="C166" s="35" t="s">
        <v>14</v>
      </c>
      <c r="D166" s="35">
        <v>40</v>
      </c>
      <c r="E166" s="35">
        <v>5000</v>
      </c>
      <c r="F166" s="35">
        <v>15</v>
      </c>
      <c r="G166" s="35">
        <v>3</v>
      </c>
      <c r="H166" s="32" t="s">
        <v>194</v>
      </c>
      <c r="I166" s="32">
        <v>3</v>
      </c>
      <c r="J166" s="32">
        <v>3</v>
      </c>
      <c r="K166" s="32" t="s">
        <v>276</v>
      </c>
      <c r="L166" s="32" t="s">
        <v>155</v>
      </c>
      <c r="M166" s="42" t="s">
        <v>222</v>
      </c>
      <c r="N166" s="35">
        <v>0</v>
      </c>
      <c r="O166" s="51">
        <v>0.84199999999998454</v>
      </c>
      <c r="P166" s="51">
        <v>0.84199999999998454</v>
      </c>
      <c r="Q166" s="64">
        <v>1</v>
      </c>
      <c r="R166" s="76">
        <v>3.3375310792349731</v>
      </c>
      <c r="S166" s="76">
        <v>3.3375310792349731</v>
      </c>
      <c r="T166" s="66">
        <v>3.2195865253077969</v>
      </c>
      <c r="U166" s="67">
        <f t="shared" si="6"/>
        <v>3.2785588022713847</v>
      </c>
      <c r="V166" s="66">
        <v>3.281246897014424</v>
      </c>
    </row>
    <row r="167" spans="1:22">
      <c r="A167" s="32" t="s">
        <v>105</v>
      </c>
      <c r="B167" s="35" t="s">
        <v>66</v>
      </c>
      <c r="C167" s="35" t="s">
        <v>14</v>
      </c>
      <c r="D167" s="35">
        <v>40</v>
      </c>
      <c r="E167" s="35">
        <v>5000</v>
      </c>
      <c r="F167" s="35">
        <v>15</v>
      </c>
      <c r="G167" s="35">
        <v>3</v>
      </c>
      <c r="H167" s="32" t="s">
        <v>194</v>
      </c>
      <c r="I167" s="32">
        <v>4</v>
      </c>
      <c r="K167" s="32" t="s">
        <v>275</v>
      </c>
      <c r="L167" s="32" t="s">
        <v>156</v>
      </c>
      <c r="M167" s="42" t="s">
        <v>222</v>
      </c>
      <c r="N167" s="35"/>
      <c r="O167" s="51"/>
      <c r="P167" s="51"/>
      <c r="Q167" s="64"/>
      <c r="R167" s="76">
        <v>4.6230000000000002</v>
      </c>
      <c r="S167" s="76">
        <v>4.6230000000000002</v>
      </c>
      <c r="T167" s="66">
        <v>3.8460000000000001</v>
      </c>
      <c r="U167" s="67">
        <f t="shared" si="6"/>
        <v>4.2345000000000006</v>
      </c>
      <c r="V167" s="66">
        <v>4.2350000000000003</v>
      </c>
    </row>
    <row r="168" spans="1:22">
      <c r="A168" s="32" t="s">
        <v>105</v>
      </c>
      <c r="B168" s="35" t="s">
        <v>66</v>
      </c>
      <c r="C168" s="35" t="s">
        <v>14</v>
      </c>
      <c r="D168" s="35">
        <v>40</v>
      </c>
      <c r="E168" s="35">
        <v>5000</v>
      </c>
      <c r="F168" s="35">
        <v>15</v>
      </c>
      <c r="G168" s="35">
        <v>3</v>
      </c>
      <c r="H168" s="32" t="s">
        <v>194</v>
      </c>
      <c r="I168" s="32">
        <v>5</v>
      </c>
      <c r="J168" s="32">
        <v>4</v>
      </c>
      <c r="K168" s="32" t="s">
        <v>276</v>
      </c>
      <c r="L168" s="32" t="s">
        <v>157</v>
      </c>
      <c r="M168" s="42" t="s">
        <v>222</v>
      </c>
      <c r="N168" s="35">
        <v>0</v>
      </c>
      <c r="O168" s="51">
        <v>7.8530000000000655</v>
      </c>
      <c r="P168" s="51">
        <v>7.8530000000000655</v>
      </c>
      <c r="Q168" s="64">
        <v>1</v>
      </c>
      <c r="R168" s="76">
        <v>3.43661999326826</v>
      </c>
      <c r="S168" s="76">
        <v>3.43661999326826</v>
      </c>
      <c r="T168" s="66">
        <v>3.29697354138399</v>
      </c>
      <c r="U168" s="67">
        <f t="shared" si="6"/>
        <v>3.3667967673261252</v>
      </c>
      <c r="V168" s="66">
        <v>3.365947368421053</v>
      </c>
    </row>
    <row r="169" spans="1:22">
      <c r="A169" s="32" t="s">
        <v>105</v>
      </c>
      <c r="B169" s="35" t="s">
        <v>66</v>
      </c>
      <c r="C169" s="35" t="s">
        <v>14</v>
      </c>
      <c r="D169" s="35">
        <v>40</v>
      </c>
      <c r="E169" s="35">
        <v>5000</v>
      </c>
      <c r="F169" s="35">
        <v>15</v>
      </c>
      <c r="G169" s="35">
        <v>3</v>
      </c>
      <c r="H169" s="32" t="s">
        <v>194</v>
      </c>
      <c r="I169" s="32">
        <v>6</v>
      </c>
      <c r="J169" s="32">
        <v>5</v>
      </c>
      <c r="K169" s="32" t="s">
        <v>275</v>
      </c>
      <c r="L169" s="32" t="s">
        <v>158</v>
      </c>
      <c r="M169" s="42" t="s">
        <v>222</v>
      </c>
      <c r="N169" s="35">
        <v>0</v>
      </c>
      <c r="O169" s="51">
        <v>-1.0299999999999727</v>
      </c>
      <c r="P169" s="51">
        <v>-1.0299999999999727</v>
      </c>
      <c r="Q169" s="64">
        <v>1</v>
      </c>
      <c r="R169" s="76">
        <v>3.531397158322056</v>
      </c>
      <c r="S169" s="76">
        <v>3.531397158322056</v>
      </c>
      <c r="T169" s="66">
        <v>3.3534403111261408</v>
      </c>
      <c r="U169" s="67">
        <f t="shared" si="6"/>
        <v>3.4424187347240984</v>
      </c>
      <c r="V169" s="66">
        <v>3.4430269820119919</v>
      </c>
    </row>
    <row r="170" spans="1:22">
      <c r="A170" s="33" t="s">
        <v>92</v>
      </c>
      <c r="B170" s="37" t="s">
        <v>82</v>
      </c>
      <c r="C170" s="37" t="s">
        <v>22</v>
      </c>
      <c r="D170" s="35">
        <v>46</v>
      </c>
      <c r="E170" s="35">
        <v>7000</v>
      </c>
      <c r="F170" s="35">
        <v>25</v>
      </c>
      <c r="G170" s="37">
        <v>1</v>
      </c>
      <c r="H170" s="33" t="s">
        <v>197</v>
      </c>
      <c r="I170" s="33">
        <v>1</v>
      </c>
      <c r="J170" s="33">
        <v>1</v>
      </c>
      <c r="K170" s="33" t="s">
        <v>275</v>
      </c>
      <c r="L170" s="33" t="s">
        <v>154</v>
      </c>
      <c r="M170" s="43" t="s">
        <v>300</v>
      </c>
      <c r="N170" s="35">
        <v>4.0000000000000002E-4</v>
      </c>
      <c r="O170" s="51">
        <v>7.7350000000000136</v>
      </c>
      <c r="P170" s="51">
        <v>7.7350000000000136</v>
      </c>
      <c r="Q170" s="64">
        <v>1</v>
      </c>
      <c r="R170" s="76">
        <v>3.4366050875729779</v>
      </c>
      <c r="S170" s="76">
        <v>3.4366050875729779</v>
      </c>
      <c r="T170" s="66">
        <v>3.4640816577759539</v>
      </c>
      <c r="U170" s="67">
        <f t="shared" si="6"/>
        <v>3.4503433726744657</v>
      </c>
      <c r="V170" s="66">
        <v>3.441763116057234</v>
      </c>
    </row>
    <row r="171" spans="1:22">
      <c r="A171" s="33" t="s">
        <v>92</v>
      </c>
      <c r="B171" s="37" t="s">
        <v>82</v>
      </c>
      <c r="C171" s="37" t="s">
        <v>22</v>
      </c>
      <c r="D171" s="35">
        <v>46</v>
      </c>
      <c r="E171" s="35">
        <v>7000</v>
      </c>
      <c r="F171" s="35">
        <v>25</v>
      </c>
      <c r="G171" s="37">
        <v>1</v>
      </c>
      <c r="H171" s="33" t="s">
        <v>197</v>
      </c>
      <c r="I171" s="33">
        <v>2</v>
      </c>
      <c r="J171" s="33">
        <v>2</v>
      </c>
      <c r="K171" s="33" t="s">
        <v>276</v>
      </c>
      <c r="L171" s="33" t="s">
        <v>155</v>
      </c>
      <c r="M171" s="43" t="s">
        <v>300</v>
      </c>
      <c r="N171" s="35">
        <v>5.0000000000000001E-4</v>
      </c>
      <c r="O171" s="51">
        <v>1.7630000000000337</v>
      </c>
      <c r="P171" s="51">
        <v>1.7630000000000337</v>
      </c>
      <c r="Q171" s="64">
        <v>1</v>
      </c>
      <c r="R171" s="76">
        <v>3.3569827194179171</v>
      </c>
      <c r="S171" s="76">
        <v>3.3569827194179171</v>
      </c>
      <c r="T171" s="66">
        <v>3.3435474885844751</v>
      </c>
      <c r="U171" s="67">
        <f t="shared" si="6"/>
        <v>3.3502651040011964</v>
      </c>
      <c r="V171" s="66">
        <v>3.3428000878734618</v>
      </c>
    </row>
    <row r="172" spans="1:22">
      <c r="A172" s="33" t="s">
        <v>92</v>
      </c>
      <c r="B172" s="37" t="s">
        <v>82</v>
      </c>
      <c r="C172" s="37" t="s">
        <v>22</v>
      </c>
      <c r="D172" s="35">
        <v>46</v>
      </c>
      <c r="E172" s="35">
        <v>7000</v>
      </c>
      <c r="F172" s="35">
        <v>25</v>
      </c>
      <c r="G172" s="37">
        <v>1</v>
      </c>
      <c r="H172" s="33" t="s">
        <v>197</v>
      </c>
      <c r="I172" s="33">
        <v>3</v>
      </c>
      <c r="J172" s="33">
        <v>3</v>
      </c>
      <c r="K172" s="33" t="s">
        <v>275</v>
      </c>
      <c r="L172" s="33" t="s">
        <v>158</v>
      </c>
      <c r="M172" s="43" t="s">
        <v>300</v>
      </c>
      <c r="N172" s="35">
        <v>5.2600000000000001E-2</v>
      </c>
      <c r="O172" s="51">
        <v>2.7749999999999773</v>
      </c>
      <c r="P172" s="51">
        <v>2.7749999999999773</v>
      </c>
      <c r="Q172" s="64">
        <v>1</v>
      </c>
      <c r="R172" s="76">
        <v>3.326281652598845</v>
      </c>
      <c r="S172" s="76">
        <v>3.326281652598845</v>
      </c>
      <c r="T172" s="66">
        <v>3.3136110866695989</v>
      </c>
      <c r="U172" s="67">
        <f t="shared" si="6"/>
        <v>3.3199463696342217</v>
      </c>
      <c r="V172" s="66">
        <v>3.3151519586741292</v>
      </c>
    </row>
    <row r="173" spans="1:22">
      <c r="A173" s="33" t="s">
        <v>92</v>
      </c>
      <c r="B173" s="37" t="s">
        <v>82</v>
      </c>
      <c r="C173" s="37" t="s">
        <v>22</v>
      </c>
      <c r="D173" s="35">
        <v>46</v>
      </c>
      <c r="E173" s="35">
        <v>7000</v>
      </c>
      <c r="F173" s="35">
        <v>25</v>
      </c>
      <c r="G173" s="37">
        <v>1</v>
      </c>
      <c r="H173" s="33" t="s">
        <v>197</v>
      </c>
      <c r="I173" s="33">
        <v>4</v>
      </c>
      <c r="J173" s="33">
        <v>4</v>
      </c>
      <c r="K173" s="33" t="s">
        <v>276</v>
      </c>
      <c r="L173" s="33" t="s">
        <v>157</v>
      </c>
      <c r="M173" s="43" t="s">
        <v>300</v>
      </c>
      <c r="N173" s="35">
        <v>0</v>
      </c>
      <c r="O173" s="51">
        <v>4.1100000000000136</v>
      </c>
      <c r="P173" s="51">
        <v>4.1100000000000136</v>
      </c>
      <c r="Q173" s="64">
        <v>1</v>
      </c>
      <c r="R173" s="76">
        <v>3.1779243924392442</v>
      </c>
      <c r="S173" s="76">
        <v>3.1779243924392442</v>
      </c>
      <c r="T173" s="66">
        <v>3.1997309688581321</v>
      </c>
      <c r="U173" s="67">
        <f t="shared" si="6"/>
        <v>3.1888276806486884</v>
      </c>
      <c r="V173" s="66">
        <v>3.1859722577891589</v>
      </c>
    </row>
    <row r="174" spans="1:22">
      <c r="A174" s="33" t="s">
        <v>92</v>
      </c>
      <c r="B174" s="37" t="s">
        <v>82</v>
      </c>
      <c r="C174" s="37" t="s">
        <v>22</v>
      </c>
      <c r="D174" s="35">
        <v>46</v>
      </c>
      <c r="E174" s="35">
        <v>7000</v>
      </c>
      <c r="F174" s="35">
        <v>25</v>
      </c>
      <c r="G174" s="37">
        <v>1</v>
      </c>
      <c r="H174" s="33" t="s">
        <v>197</v>
      </c>
      <c r="I174" s="33">
        <v>5</v>
      </c>
      <c r="J174" s="33"/>
      <c r="K174" s="33" t="s">
        <v>276</v>
      </c>
      <c r="L174" s="33" t="s">
        <v>156</v>
      </c>
      <c r="M174" s="43" t="s">
        <v>300</v>
      </c>
      <c r="N174" s="35"/>
      <c r="O174" s="51"/>
      <c r="P174" s="51"/>
      <c r="Q174" s="64"/>
      <c r="R174" s="76">
        <v>3.72</v>
      </c>
      <c r="S174" s="76">
        <v>3.72</v>
      </c>
      <c r="T174" s="66">
        <v>3.7549999999999999</v>
      </c>
      <c r="U174" s="67">
        <f t="shared" si="6"/>
        <v>3.7374999999999998</v>
      </c>
      <c r="V174" s="66">
        <v>3.7370000000000001</v>
      </c>
    </row>
    <row r="175" spans="1:22">
      <c r="A175" s="33" t="s">
        <v>92</v>
      </c>
      <c r="B175" s="37" t="s">
        <v>82</v>
      </c>
      <c r="C175" s="37" t="s">
        <v>22</v>
      </c>
      <c r="D175" s="35">
        <v>46</v>
      </c>
      <c r="E175" s="35">
        <v>7000</v>
      </c>
      <c r="F175" s="35">
        <v>25</v>
      </c>
      <c r="G175" s="37">
        <v>1</v>
      </c>
      <c r="H175" s="33" t="s">
        <v>197</v>
      </c>
      <c r="I175" s="33">
        <v>6</v>
      </c>
      <c r="J175" s="33">
        <v>5</v>
      </c>
      <c r="K175" s="33" t="s">
        <v>275</v>
      </c>
      <c r="L175" s="33" t="s">
        <v>153</v>
      </c>
      <c r="M175" s="43" t="s">
        <v>300</v>
      </c>
      <c r="N175" s="35">
        <v>0</v>
      </c>
      <c r="O175" s="51">
        <v>10.826999999999998</v>
      </c>
      <c r="P175" s="51">
        <v>10.826999999999998</v>
      </c>
      <c r="Q175" s="64">
        <v>1</v>
      </c>
      <c r="R175" s="76">
        <v>3.1547264916467781</v>
      </c>
      <c r="S175" s="76">
        <v>3.1547264916467781</v>
      </c>
      <c r="T175" s="66">
        <v>3.167168897092755</v>
      </c>
      <c r="U175" s="67">
        <f t="shared" si="6"/>
        <v>3.1609476943697663</v>
      </c>
      <c r="V175" s="66">
        <v>3.163539855072464</v>
      </c>
    </row>
    <row r="176" spans="1:22">
      <c r="A176" s="33" t="s">
        <v>92</v>
      </c>
      <c r="B176" s="37" t="s">
        <v>82</v>
      </c>
      <c r="C176" s="37" t="s">
        <v>21</v>
      </c>
      <c r="D176" s="35">
        <v>46</v>
      </c>
      <c r="E176" s="35">
        <v>7000</v>
      </c>
      <c r="F176" s="35">
        <v>25</v>
      </c>
      <c r="G176" s="37">
        <v>2</v>
      </c>
      <c r="H176" s="33" t="s">
        <v>199</v>
      </c>
      <c r="I176" s="33">
        <v>1</v>
      </c>
      <c r="J176" s="33"/>
      <c r="K176" s="33" t="s">
        <v>276</v>
      </c>
      <c r="L176" s="33" t="s">
        <v>156</v>
      </c>
      <c r="M176" s="43" t="s">
        <v>301</v>
      </c>
      <c r="N176" s="35"/>
      <c r="O176" s="51"/>
      <c r="P176" s="51"/>
      <c r="Q176" s="64"/>
      <c r="R176" s="76">
        <v>3.6349999999999998</v>
      </c>
      <c r="S176" s="76">
        <v>3.6349999999999998</v>
      </c>
      <c r="T176" s="66">
        <v>3.649</v>
      </c>
      <c r="U176" s="67">
        <f t="shared" si="6"/>
        <v>3.6419999999999999</v>
      </c>
      <c r="V176" s="66">
        <v>3.6419999999999999</v>
      </c>
    </row>
    <row r="177" spans="1:22">
      <c r="A177" s="33" t="s">
        <v>92</v>
      </c>
      <c r="B177" s="37" t="s">
        <v>82</v>
      </c>
      <c r="C177" s="37" t="s">
        <v>21</v>
      </c>
      <c r="D177" s="35">
        <v>46</v>
      </c>
      <c r="E177" s="35">
        <v>7000</v>
      </c>
      <c r="F177" s="35">
        <v>25</v>
      </c>
      <c r="G177" s="37">
        <v>2</v>
      </c>
      <c r="H177" s="33" t="s">
        <v>199</v>
      </c>
      <c r="I177" s="33">
        <v>2</v>
      </c>
      <c r="J177" s="33">
        <v>1</v>
      </c>
      <c r="K177" s="33" t="s">
        <v>275</v>
      </c>
      <c r="L177" s="33" t="s">
        <v>157</v>
      </c>
      <c r="M177" s="43" t="s">
        <v>301</v>
      </c>
      <c r="N177" s="35">
        <v>9.1399999999999995E-2</v>
      </c>
      <c r="O177" s="51">
        <v>9.2900000000000205</v>
      </c>
      <c r="P177" s="51">
        <v>9.2900000000000205</v>
      </c>
      <c r="Q177" s="64">
        <v>1</v>
      </c>
      <c r="R177" s="76">
        <v>3.2117582515611058</v>
      </c>
      <c r="S177" s="76">
        <v>3.2117582515611058</v>
      </c>
      <c r="T177" s="66">
        <v>3.2675639386189261</v>
      </c>
      <c r="U177" s="67">
        <f t="shared" si="6"/>
        <v>3.2396610950900158</v>
      </c>
      <c r="V177" s="66">
        <v>3.2393911257189809</v>
      </c>
    </row>
    <row r="178" spans="1:22">
      <c r="A178" s="33" t="s">
        <v>92</v>
      </c>
      <c r="B178" s="37" t="s">
        <v>82</v>
      </c>
      <c r="C178" s="37" t="s">
        <v>21</v>
      </c>
      <c r="D178" s="35">
        <v>46</v>
      </c>
      <c r="E178" s="35">
        <v>7000</v>
      </c>
      <c r="F178" s="35">
        <v>25</v>
      </c>
      <c r="G178" s="37">
        <v>2</v>
      </c>
      <c r="H178" s="33" t="s">
        <v>199</v>
      </c>
      <c r="I178" s="33">
        <v>3</v>
      </c>
      <c r="J178" s="33">
        <v>2</v>
      </c>
      <c r="K178" s="33" t="s">
        <v>276</v>
      </c>
      <c r="L178" s="33" t="s">
        <v>153</v>
      </c>
      <c r="M178" s="43" t="s">
        <v>235</v>
      </c>
      <c r="N178" s="35">
        <v>0</v>
      </c>
      <c r="O178" s="51">
        <v>0.74000000000000909</v>
      </c>
      <c r="P178" s="51">
        <v>0.74000000000000909</v>
      </c>
      <c r="Q178" s="64">
        <v>1</v>
      </c>
      <c r="R178" s="76">
        <v>3.2845876897133222</v>
      </c>
      <c r="S178" s="76">
        <v>3.2845876897133222</v>
      </c>
      <c r="T178" s="66">
        <v>3.385688552915767</v>
      </c>
      <c r="U178" s="67">
        <f t="shared" si="6"/>
        <v>3.3351381213145448</v>
      </c>
      <c r="V178" s="66">
        <v>3.3197984866587009</v>
      </c>
    </row>
    <row r="179" spans="1:22">
      <c r="A179" s="33" t="s">
        <v>92</v>
      </c>
      <c r="B179" s="37" t="s">
        <v>82</v>
      </c>
      <c r="C179" s="37" t="s">
        <v>21</v>
      </c>
      <c r="D179" s="35">
        <v>46</v>
      </c>
      <c r="E179" s="35">
        <v>7000</v>
      </c>
      <c r="F179" s="35">
        <v>25</v>
      </c>
      <c r="G179" s="37">
        <v>2</v>
      </c>
      <c r="H179" s="33" t="s">
        <v>199</v>
      </c>
      <c r="I179" s="33">
        <v>4</v>
      </c>
      <c r="J179" s="33">
        <v>3</v>
      </c>
      <c r="K179" s="33" t="s">
        <v>276</v>
      </c>
      <c r="L179" s="33" t="s">
        <v>158</v>
      </c>
      <c r="M179" s="43" t="s">
        <v>235</v>
      </c>
      <c r="N179" s="35">
        <v>4.07E-2</v>
      </c>
      <c r="O179" s="51">
        <v>1.7799999999999727</v>
      </c>
      <c r="P179" s="51">
        <v>1.7799999999999727</v>
      </c>
      <c r="Q179" s="64">
        <v>1</v>
      </c>
      <c r="R179" s="76">
        <v>3.2221122787610619</v>
      </c>
      <c r="S179" s="76">
        <v>3.2221122787610619</v>
      </c>
      <c r="T179" s="66">
        <v>3.3113350398179739</v>
      </c>
      <c r="U179" s="67">
        <f t="shared" si="6"/>
        <v>3.2667236592895179</v>
      </c>
      <c r="V179" s="66">
        <v>3.2450153617443021</v>
      </c>
    </row>
    <row r="180" spans="1:22">
      <c r="A180" s="33" t="s">
        <v>92</v>
      </c>
      <c r="B180" s="37" t="s">
        <v>82</v>
      </c>
      <c r="C180" s="37" t="s">
        <v>21</v>
      </c>
      <c r="D180" s="35">
        <v>46</v>
      </c>
      <c r="E180" s="35">
        <v>7000</v>
      </c>
      <c r="F180" s="35">
        <v>25</v>
      </c>
      <c r="G180" s="37">
        <v>2</v>
      </c>
      <c r="H180" s="33" t="s">
        <v>199</v>
      </c>
      <c r="I180" s="33">
        <v>5</v>
      </c>
      <c r="J180" s="33">
        <v>4</v>
      </c>
      <c r="K180" s="33" t="s">
        <v>275</v>
      </c>
      <c r="L180" s="33" t="s">
        <v>155</v>
      </c>
      <c r="M180" s="43" t="s">
        <v>235</v>
      </c>
      <c r="N180" s="35">
        <v>9.2799999999999994E-2</v>
      </c>
      <c r="O180" s="51">
        <v>1.9599999999999227</v>
      </c>
      <c r="P180" s="51">
        <v>1.9599999999999227</v>
      </c>
      <c r="Q180" s="64">
        <v>1</v>
      </c>
      <c r="R180" s="76">
        <v>3.2865888407367279</v>
      </c>
      <c r="S180" s="76">
        <v>3.2865888407367279</v>
      </c>
      <c r="T180" s="66">
        <v>3.331683299389002</v>
      </c>
      <c r="U180" s="67">
        <f t="shared" si="6"/>
        <v>3.3091360700628649</v>
      </c>
      <c r="V180" s="66">
        <v>3.3163535257927119</v>
      </c>
    </row>
    <row r="181" spans="1:22">
      <c r="A181" s="33" t="s">
        <v>92</v>
      </c>
      <c r="B181" s="37" t="s">
        <v>82</v>
      </c>
      <c r="C181" s="37" t="s">
        <v>21</v>
      </c>
      <c r="D181" s="35">
        <v>46</v>
      </c>
      <c r="E181" s="35">
        <v>7000</v>
      </c>
      <c r="F181" s="35">
        <v>25</v>
      </c>
      <c r="G181" s="37">
        <v>2</v>
      </c>
      <c r="H181" s="33" t="s">
        <v>199</v>
      </c>
      <c r="I181" s="33">
        <v>6</v>
      </c>
      <c r="J181" s="33">
        <v>5</v>
      </c>
      <c r="K181" s="33" t="s">
        <v>275</v>
      </c>
      <c r="L181" s="33" t="s">
        <v>154</v>
      </c>
      <c r="M181" s="43" t="s">
        <v>235</v>
      </c>
      <c r="N181" s="35"/>
      <c r="O181" s="51" t="s">
        <v>394</v>
      </c>
      <c r="P181" s="51" t="s">
        <v>394</v>
      </c>
      <c r="Q181" s="64" t="s">
        <v>274</v>
      </c>
    </row>
    <row r="182" spans="1:22">
      <c r="A182" s="33" t="s">
        <v>92</v>
      </c>
      <c r="B182" s="37" t="s">
        <v>82</v>
      </c>
      <c r="C182" s="37" t="s">
        <v>14</v>
      </c>
      <c r="D182" s="35">
        <v>46</v>
      </c>
      <c r="E182" s="35">
        <v>7000</v>
      </c>
      <c r="F182" s="35">
        <v>25</v>
      </c>
      <c r="G182" s="37">
        <v>3</v>
      </c>
      <c r="H182" s="33" t="s">
        <v>194</v>
      </c>
      <c r="I182" s="33">
        <v>1</v>
      </c>
      <c r="J182" s="33">
        <v>1</v>
      </c>
      <c r="K182" s="33" t="s">
        <v>275</v>
      </c>
      <c r="L182" s="33" t="s">
        <v>153</v>
      </c>
      <c r="M182" s="43" t="s">
        <v>302</v>
      </c>
      <c r="N182" s="35">
        <v>0</v>
      </c>
      <c r="O182" s="51">
        <v>9.9490000000000123</v>
      </c>
      <c r="P182" s="51">
        <v>9.9490000000000123</v>
      </c>
      <c r="Q182" s="64">
        <v>1</v>
      </c>
      <c r="R182" s="76">
        <v>3.141208607987592</v>
      </c>
      <c r="S182" s="76">
        <v>3.141208607987592</v>
      </c>
      <c r="T182" s="66">
        <v>3.153619119878603</v>
      </c>
      <c r="U182" s="67">
        <f>AVERAGE(S182:T182)</f>
        <v>3.1474138639330977</v>
      </c>
      <c r="V182" s="66">
        <v>3.1469913436206252</v>
      </c>
    </row>
    <row r="183" spans="1:22">
      <c r="A183" s="33" t="s">
        <v>92</v>
      </c>
      <c r="B183" s="37" t="s">
        <v>82</v>
      </c>
      <c r="C183" s="37" t="s">
        <v>14</v>
      </c>
      <c r="D183" s="35">
        <v>46</v>
      </c>
      <c r="E183" s="35">
        <v>7000</v>
      </c>
      <c r="F183" s="35">
        <v>25</v>
      </c>
      <c r="G183" s="37">
        <v>3</v>
      </c>
      <c r="H183" s="33" t="s">
        <v>194</v>
      </c>
      <c r="I183" s="33">
        <v>2</v>
      </c>
      <c r="J183" s="33">
        <v>2</v>
      </c>
      <c r="K183" s="33" t="s">
        <v>276</v>
      </c>
      <c r="L183" s="33" t="s">
        <v>154</v>
      </c>
      <c r="M183" s="43" t="s">
        <v>302</v>
      </c>
      <c r="N183" s="35">
        <v>0</v>
      </c>
      <c r="O183" s="51">
        <v>4.3870000000000573</v>
      </c>
      <c r="P183" s="51">
        <v>4.3870000000000573</v>
      </c>
      <c r="Q183" s="64">
        <v>1</v>
      </c>
      <c r="R183" s="76">
        <v>3.1000158662092629</v>
      </c>
      <c r="S183" s="76">
        <v>3.1000158662092629</v>
      </c>
      <c r="T183" s="66">
        <v>3.131182608695652</v>
      </c>
      <c r="U183" s="67">
        <f>AVERAGE(S183:T183)</f>
        <v>3.1155992374524573</v>
      </c>
      <c r="V183" s="66">
        <v>3.112180114099429</v>
      </c>
    </row>
    <row r="184" spans="1:22">
      <c r="A184" s="33" t="s">
        <v>92</v>
      </c>
      <c r="B184" s="37" t="s">
        <v>82</v>
      </c>
      <c r="C184" s="37" t="s">
        <v>14</v>
      </c>
      <c r="D184" s="35">
        <v>46</v>
      </c>
      <c r="E184" s="35">
        <v>7000</v>
      </c>
      <c r="F184" s="35">
        <v>25</v>
      </c>
      <c r="G184" s="37">
        <v>3</v>
      </c>
      <c r="H184" s="33" t="s">
        <v>194</v>
      </c>
      <c r="I184" s="33">
        <v>3</v>
      </c>
      <c r="J184" s="33">
        <v>3</v>
      </c>
      <c r="K184" s="33" t="s">
        <v>276</v>
      </c>
      <c r="L184" s="33" t="s">
        <v>155</v>
      </c>
      <c r="M184" s="43" t="s">
        <v>225</v>
      </c>
      <c r="N184" s="35">
        <v>0</v>
      </c>
      <c r="O184" s="51">
        <v>3.875</v>
      </c>
      <c r="P184" s="51">
        <v>3.875</v>
      </c>
      <c r="Q184" s="64">
        <v>1</v>
      </c>
      <c r="R184" s="76">
        <v>3.231415094339622</v>
      </c>
      <c r="S184" s="76">
        <v>3.231415094339622</v>
      </c>
      <c r="T184" s="66">
        <v>3.2613956594323872</v>
      </c>
      <c r="U184" s="67">
        <f>AVERAGE(S184:T184)</f>
        <v>3.2464053768860044</v>
      </c>
      <c r="V184" s="66">
        <v>3.2426126905644832</v>
      </c>
    </row>
    <row r="185" spans="1:22">
      <c r="A185" s="33" t="s">
        <v>92</v>
      </c>
      <c r="B185" s="37" t="s">
        <v>82</v>
      </c>
      <c r="C185" s="37" t="s">
        <v>14</v>
      </c>
      <c r="D185" s="35">
        <v>46</v>
      </c>
      <c r="E185" s="35">
        <v>7000</v>
      </c>
      <c r="F185" s="35">
        <v>25</v>
      </c>
      <c r="G185" s="37">
        <v>3</v>
      </c>
      <c r="H185" s="33" t="s">
        <v>194</v>
      </c>
      <c r="I185" s="33">
        <v>4</v>
      </c>
      <c r="J185" s="33"/>
      <c r="K185" s="33" t="s">
        <v>275</v>
      </c>
      <c r="L185" s="33" t="s">
        <v>156</v>
      </c>
      <c r="M185" s="43" t="s">
        <v>225</v>
      </c>
      <c r="N185" s="35"/>
      <c r="O185" s="51"/>
      <c r="P185" s="51"/>
      <c r="Q185" s="64"/>
    </row>
    <row r="186" spans="1:22">
      <c r="A186" s="33" t="s">
        <v>92</v>
      </c>
      <c r="B186" s="37" t="s">
        <v>82</v>
      </c>
      <c r="C186" s="37" t="s">
        <v>14</v>
      </c>
      <c r="D186" s="35">
        <v>46</v>
      </c>
      <c r="E186" s="35">
        <v>7000</v>
      </c>
      <c r="F186" s="35">
        <v>25</v>
      </c>
      <c r="G186" s="37">
        <v>3</v>
      </c>
      <c r="H186" s="33" t="s">
        <v>194</v>
      </c>
      <c r="I186" s="33">
        <v>5</v>
      </c>
      <c r="J186" s="33">
        <v>4</v>
      </c>
      <c r="K186" s="33" t="s">
        <v>276</v>
      </c>
      <c r="L186" s="33" t="s">
        <v>157</v>
      </c>
      <c r="M186" s="43" t="s">
        <v>225</v>
      </c>
      <c r="N186" s="35"/>
      <c r="O186" s="51" t="s">
        <v>394</v>
      </c>
      <c r="P186" s="51" t="s">
        <v>394</v>
      </c>
      <c r="Q186" s="64" t="s">
        <v>274</v>
      </c>
    </row>
    <row r="187" spans="1:22">
      <c r="A187" s="33" t="s">
        <v>92</v>
      </c>
      <c r="B187" s="39" t="s">
        <v>82</v>
      </c>
      <c r="C187" s="39" t="s">
        <v>14</v>
      </c>
      <c r="D187" s="35">
        <v>46</v>
      </c>
      <c r="E187" s="35">
        <v>7000</v>
      </c>
      <c r="F187" s="35">
        <v>25</v>
      </c>
      <c r="G187" s="39">
        <v>3</v>
      </c>
      <c r="H187" s="33" t="s">
        <v>194</v>
      </c>
      <c r="I187" s="33">
        <v>6</v>
      </c>
      <c r="J187" s="33">
        <v>5</v>
      </c>
      <c r="K187" s="33" t="s">
        <v>275</v>
      </c>
      <c r="L187" s="33" t="s">
        <v>158</v>
      </c>
      <c r="M187" s="43" t="s">
        <v>225</v>
      </c>
      <c r="N187" s="35">
        <v>0</v>
      </c>
      <c r="O187" s="51">
        <v>3.2360000000001037</v>
      </c>
      <c r="P187" s="51">
        <v>3.2360000000001037</v>
      </c>
      <c r="Q187" s="64">
        <v>1</v>
      </c>
      <c r="R187" s="76">
        <v>3.2799921584812211</v>
      </c>
      <c r="S187" s="76">
        <v>3.2799921584812211</v>
      </c>
      <c r="T187" s="66">
        <v>3.3151575781876512</v>
      </c>
      <c r="U187" s="67">
        <f>AVERAGE(S187:T187)</f>
        <v>3.2975748683344364</v>
      </c>
      <c r="V187" s="66">
        <v>3.2896904483430802</v>
      </c>
    </row>
    <row r="188" spans="1:22">
      <c r="A188" s="32" t="s">
        <v>93</v>
      </c>
      <c r="B188" s="35" t="s">
        <v>82</v>
      </c>
      <c r="C188" s="35" t="s">
        <v>21</v>
      </c>
      <c r="D188" s="35">
        <v>35</v>
      </c>
      <c r="E188" s="35">
        <v>5000</v>
      </c>
      <c r="F188" s="35">
        <v>17</v>
      </c>
      <c r="G188" s="35">
        <v>1</v>
      </c>
      <c r="H188" s="32" t="s">
        <v>197</v>
      </c>
      <c r="I188" s="32">
        <v>1</v>
      </c>
      <c r="J188" s="32">
        <v>1</v>
      </c>
      <c r="K188" s="32" t="s">
        <v>275</v>
      </c>
      <c r="L188" s="32" t="s">
        <v>154</v>
      </c>
      <c r="M188" s="42" t="s">
        <v>303</v>
      </c>
      <c r="N188" s="35">
        <v>0</v>
      </c>
      <c r="O188" s="51">
        <v>0.61899999999999977</v>
      </c>
      <c r="P188" s="51">
        <v>0.61899999999999977</v>
      </c>
      <c r="Q188" s="64">
        <v>1</v>
      </c>
      <c r="R188" s="76">
        <v>3.1008226997985231</v>
      </c>
      <c r="S188" s="76">
        <v>3.1008226997985231</v>
      </c>
      <c r="T188" s="66">
        <v>3.2202612217347291</v>
      </c>
      <c r="U188" s="67">
        <f>AVERAGE(S188:T188)</f>
        <v>3.1605419607666261</v>
      </c>
      <c r="V188" s="66">
        <v>3.1636743564025411</v>
      </c>
    </row>
    <row r="189" spans="1:22">
      <c r="A189" s="32" t="s">
        <v>93</v>
      </c>
      <c r="B189" s="35" t="s">
        <v>82</v>
      </c>
      <c r="C189" s="35" t="s">
        <v>21</v>
      </c>
      <c r="D189" s="35">
        <v>35</v>
      </c>
      <c r="E189" s="35">
        <v>5000</v>
      </c>
      <c r="F189" s="35">
        <v>17</v>
      </c>
      <c r="G189" s="35">
        <v>1</v>
      </c>
      <c r="H189" s="32" t="s">
        <v>197</v>
      </c>
      <c r="I189" s="32">
        <v>2</v>
      </c>
      <c r="J189" s="32">
        <v>2</v>
      </c>
      <c r="K189" s="32" t="s">
        <v>276</v>
      </c>
      <c r="L189" s="32" t="s">
        <v>155</v>
      </c>
      <c r="M189" s="42" t="s">
        <v>303</v>
      </c>
      <c r="N189" s="35">
        <v>0</v>
      </c>
      <c r="O189" s="51">
        <v>0.74299999999993815</v>
      </c>
      <c r="P189" s="51">
        <v>0.74299999999993815</v>
      </c>
      <c r="Q189" s="64">
        <v>1</v>
      </c>
      <c r="R189" s="76">
        <v>3.139401149036837</v>
      </c>
      <c r="S189" s="76">
        <v>3.139401149036837</v>
      </c>
      <c r="T189" s="66">
        <v>3.2615838655462182</v>
      </c>
      <c r="U189" s="67">
        <f>AVERAGE(S189:T189)</f>
        <v>3.2004925072915276</v>
      </c>
      <c r="V189" s="66">
        <v>3.20224090757424</v>
      </c>
    </row>
    <row r="190" spans="1:22">
      <c r="A190" s="32" t="s">
        <v>93</v>
      </c>
      <c r="B190" s="35" t="s">
        <v>82</v>
      </c>
      <c r="C190" s="35" t="s">
        <v>21</v>
      </c>
      <c r="D190" s="35">
        <v>35</v>
      </c>
      <c r="E190" s="35">
        <v>5000</v>
      </c>
      <c r="F190" s="35">
        <v>17</v>
      </c>
      <c r="G190" s="35">
        <v>1</v>
      </c>
      <c r="H190" s="32" t="s">
        <v>197</v>
      </c>
      <c r="I190" s="32">
        <v>3</v>
      </c>
      <c r="J190" s="32">
        <v>3</v>
      </c>
      <c r="K190" s="32" t="s">
        <v>275</v>
      </c>
      <c r="L190" s="32" t="s">
        <v>158</v>
      </c>
      <c r="M190" s="42" t="s">
        <v>303</v>
      </c>
      <c r="N190" s="35">
        <v>0</v>
      </c>
      <c r="O190" s="51">
        <v>2.3670000000000755</v>
      </c>
      <c r="P190" s="51">
        <v>2.3670000000000755</v>
      </c>
      <c r="Q190" s="64">
        <v>1</v>
      </c>
      <c r="R190" s="76">
        <v>3.0890772980501389</v>
      </c>
      <c r="S190" s="76">
        <v>3.0890772980501389</v>
      </c>
      <c r="T190" s="66">
        <v>3.2170711571675299</v>
      </c>
      <c r="U190" s="67">
        <f>AVERAGE(S190:T190)</f>
        <v>3.1530742276088342</v>
      </c>
      <c r="V190" s="66">
        <v>3.1623825229513769</v>
      </c>
    </row>
    <row r="191" spans="1:22">
      <c r="A191" s="32" t="s">
        <v>93</v>
      </c>
      <c r="B191" s="35" t="s">
        <v>82</v>
      </c>
      <c r="C191" s="35" t="s">
        <v>21</v>
      </c>
      <c r="D191" s="35">
        <v>35</v>
      </c>
      <c r="E191" s="35">
        <v>5000</v>
      </c>
      <c r="F191" s="35">
        <v>17</v>
      </c>
      <c r="G191" s="35">
        <v>1</v>
      </c>
      <c r="H191" s="32" t="s">
        <v>197</v>
      </c>
      <c r="I191" s="32">
        <v>4</v>
      </c>
      <c r="J191" s="32">
        <v>4</v>
      </c>
      <c r="K191" s="32" t="s">
        <v>276</v>
      </c>
      <c r="L191" s="32" t="s">
        <v>157</v>
      </c>
      <c r="M191" s="42" t="s">
        <v>303</v>
      </c>
      <c r="N191" s="35">
        <v>0</v>
      </c>
      <c r="O191" s="51">
        <v>3.5850000000000364</v>
      </c>
      <c r="P191" s="51">
        <v>3.5850000000000364</v>
      </c>
      <c r="Q191" s="64">
        <v>1</v>
      </c>
      <c r="R191" s="76">
        <v>3.1653762922122679</v>
      </c>
      <c r="S191" s="76">
        <v>3.1653762922122679</v>
      </c>
      <c r="T191" s="66">
        <v>3.309954208754208</v>
      </c>
      <c r="U191" s="67">
        <f>AVERAGE(S191:T191)</f>
        <v>3.2376652504832379</v>
      </c>
      <c r="V191" s="66">
        <v>3.2381881684491982</v>
      </c>
    </row>
    <row r="192" spans="1:22">
      <c r="A192" s="32" t="s">
        <v>93</v>
      </c>
      <c r="B192" s="35" t="s">
        <v>82</v>
      </c>
      <c r="C192" s="35" t="s">
        <v>21</v>
      </c>
      <c r="D192" s="35">
        <v>35</v>
      </c>
      <c r="E192" s="35">
        <v>5000</v>
      </c>
      <c r="F192" s="35">
        <v>17</v>
      </c>
      <c r="G192" s="35">
        <v>1</v>
      </c>
      <c r="H192" s="32" t="s">
        <v>197</v>
      </c>
      <c r="I192" s="32">
        <v>5</v>
      </c>
      <c r="K192" s="32" t="s">
        <v>276</v>
      </c>
      <c r="L192" s="32" t="s">
        <v>156</v>
      </c>
      <c r="M192" s="42" t="s">
        <v>303</v>
      </c>
      <c r="N192" s="35"/>
      <c r="O192" s="51"/>
      <c r="P192" s="51"/>
      <c r="Q192" s="64"/>
    </row>
    <row r="193" spans="1:22">
      <c r="A193" s="32" t="s">
        <v>93</v>
      </c>
      <c r="B193" s="35" t="s">
        <v>82</v>
      </c>
      <c r="C193" s="35" t="s">
        <v>21</v>
      </c>
      <c r="D193" s="35">
        <v>35</v>
      </c>
      <c r="E193" s="35">
        <v>5000</v>
      </c>
      <c r="F193" s="35">
        <v>17</v>
      </c>
      <c r="G193" s="35">
        <v>1</v>
      </c>
      <c r="H193" s="32" t="s">
        <v>197</v>
      </c>
      <c r="I193" s="32">
        <v>6</v>
      </c>
      <c r="J193" s="32">
        <v>5</v>
      </c>
      <c r="K193" s="32" t="s">
        <v>275</v>
      </c>
      <c r="L193" s="32" t="s">
        <v>153</v>
      </c>
      <c r="M193" s="42" t="s">
        <v>303</v>
      </c>
      <c r="N193" s="35">
        <v>0</v>
      </c>
      <c r="O193" s="51">
        <v>1.0589999999999691</v>
      </c>
      <c r="P193" s="51">
        <v>1.0589999999999691</v>
      </c>
      <c r="Q193" s="64">
        <v>1</v>
      </c>
      <c r="R193" s="76">
        <v>3.1587939189189189</v>
      </c>
      <c r="S193" s="76">
        <v>3.1587939189189189</v>
      </c>
      <c r="T193" s="66">
        <v>3.3085908783783791</v>
      </c>
      <c r="U193" s="67">
        <f t="shared" ref="U193:U202" si="7">AVERAGE(S193:T193)</f>
        <v>3.2336923986486488</v>
      </c>
      <c r="V193" s="66">
        <v>3.23814877967235</v>
      </c>
    </row>
    <row r="194" spans="1:22">
      <c r="A194" s="32" t="s">
        <v>93</v>
      </c>
      <c r="B194" s="35" t="s">
        <v>82</v>
      </c>
      <c r="C194" s="35" t="s">
        <v>14</v>
      </c>
      <c r="D194" s="35">
        <v>35</v>
      </c>
      <c r="E194" s="35">
        <v>5000</v>
      </c>
      <c r="F194" s="35">
        <v>17</v>
      </c>
      <c r="G194" s="35">
        <v>2</v>
      </c>
      <c r="H194" s="32" t="s">
        <v>199</v>
      </c>
      <c r="I194" s="32">
        <v>1</v>
      </c>
      <c r="K194" s="32" t="s">
        <v>276</v>
      </c>
      <c r="L194" s="32" t="s">
        <v>156</v>
      </c>
      <c r="M194" s="42" t="s">
        <v>304</v>
      </c>
      <c r="N194" s="35"/>
      <c r="O194" s="51"/>
      <c r="P194" s="51"/>
      <c r="Q194" s="64"/>
      <c r="R194" s="76">
        <v>3.734</v>
      </c>
      <c r="S194" s="76">
        <v>3.734</v>
      </c>
      <c r="T194" s="66">
        <v>3.85</v>
      </c>
      <c r="U194" s="67">
        <f t="shared" si="7"/>
        <v>3.7919999999999998</v>
      </c>
      <c r="V194" s="66">
        <v>3.7919999999999998</v>
      </c>
    </row>
    <row r="195" spans="1:22">
      <c r="A195" s="32" t="s">
        <v>93</v>
      </c>
      <c r="B195" s="35" t="s">
        <v>82</v>
      </c>
      <c r="C195" s="35" t="s">
        <v>14</v>
      </c>
      <c r="D195" s="35">
        <v>35</v>
      </c>
      <c r="E195" s="35">
        <v>5000</v>
      </c>
      <c r="F195" s="35">
        <v>17</v>
      </c>
      <c r="G195" s="35">
        <v>2</v>
      </c>
      <c r="H195" s="32" t="s">
        <v>199</v>
      </c>
      <c r="I195" s="32">
        <v>2</v>
      </c>
      <c r="J195" s="32">
        <v>1</v>
      </c>
      <c r="K195" s="32" t="s">
        <v>275</v>
      </c>
      <c r="L195" s="32" t="s">
        <v>157</v>
      </c>
      <c r="M195" s="42" t="s">
        <v>304</v>
      </c>
      <c r="N195" s="35">
        <v>0</v>
      </c>
      <c r="O195" s="51">
        <v>2.6200000000000045</v>
      </c>
      <c r="P195" s="51">
        <v>2.6200000000000045</v>
      </c>
      <c r="Q195" s="64">
        <v>1</v>
      </c>
      <c r="R195" s="76">
        <v>3.1709715672676841</v>
      </c>
      <c r="S195" s="76">
        <v>3.1709715672676841</v>
      </c>
      <c r="T195" s="66">
        <v>3.3449723832253659</v>
      </c>
      <c r="U195" s="67">
        <f t="shared" si="7"/>
        <v>3.2579719752465248</v>
      </c>
      <c r="V195" s="66">
        <v>3.2686638711841658</v>
      </c>
    </row>
    <row r="196" spans="1:22">
      <c r="A196" s="32" t="s">
        <v>93</v>
      </c>
      <c r="B196" s="35" t="s">
        <v>82</v>
      </c>
      <c r="C196" s="35" t="s">
        <v>14</v>
      </c>
      <c r="D196" s="35">
        <v>35</v>
      </c>
      <c r="E196" s="35">
        <v>5000</v>
      </c>
      <c r="F196" s="35">
        <v>17</v>
      </c>
      <c r="G196" s="35">
        <v>2</v>
      </c>
      <c r="H196" s="32" t="s">
        <v>199</v>
      </c>
      <c r="I196" s="32">
        <v>3</v>
      </c>
      <c r="J196" s="32">
        <v>2</v>
      </c>
      <c r="K196" s="32" t="s">
        <v>276</v>
      </c>
      <c r="L196" s="32" t="s">
        <v>153</v>
      </c>
      <c r="M196" s="42" t="s">
        <v>249</v>
      </c>
      <c r="N196" s="35">
        <v>0</v>
      </c>
      <c r="O196" s="51">
        <v>9.7300000000000182</v>
      </c>
      <c r="P196" s="51">
        <v>9.7300000000000182</v>
      </c>
      <c r="Q196" s="64">
        <v>1</v>
      </c>
      <c r="R196" s="76">
        <v>3.1575747631935052</v>
      </c>
      <c r="S196" s="76">
        <v>3.1575747631935052</v>
      </c>
      <c r="T196" s="66">
        <v>3.3117754755434778</v>
      </c>
      <c r="U196" s="67">
        <f t="shared" si="7"/>
        <v>3.2346751193684913</v>
      </c>
      <c r="V196" s="66">
        <v>3.2370358338914942</v>
      </c>
    </row>
    <row r="197" spans="1:22">
      <c r="A197" s="32" t="s">
        <v>93</v>
      </c>
      <c r="B197" s="35" t="s">
        <v>82</v>
      </c>
      <c r="C197" s="35" t="s">
        <v>14</v>
      </c>
      <c r="D197" s="35">
        <v>35</v>
      </c>
      <c r="E197" s="35">
        <v>5000</v>
      </c>
      <c r="F197" s="35">
        <v>17</v>
      </c>
      <c r="G197" s="35">
        <v>2</v>
      </c>
      <c r="H197" s="32" t="s">
        <v>199</v>
      </c>
      <c r="I197" s="32">
        <v>4</v>
      </c>
      <c r="J197" s="32">
        <v>3</v>
      </c>
      <c r="K197" s="32" t="s">
        <v>276</v>
      </c>
      <c r="L197" s="32" t="s">
        <v>158</v>
      </c>
      <c r="M197" s="42" t="s">
        <v>249</v>
      </c>
      <c r="N197" s="35">
        <v>2.5000000000000001E-3</v>
      </c>
      <c r="O197" s="51">
        <v>0.69999999999993179</v>
      </c>
      <c r="P197" s="51">
        <v>0.69999999999993179</v>
      </c>
      <c r="Q197" s="64">
        <v>1</v>
      </c>
      <c r="R197" s="76">
        <v>3.1853516904844899</v>
      </c>
      <c r="S197" s="76">
        <v>3.1853516904844899</v>
      </c>
      <c r="T197" s="66">
        <v>3.3285058742225289</v>
      </c>
      <c r="U197" s="67">
        <f t="shared" si="7"/>
        <v>3.2569287823535094</v>
      </c>
      <c r="V197" s="66">
        <v>3.2644023027429729</v>
      </c>
    </row>
    <row r="198" spans="1:22">
      <c r="A198" s="32" t="s">
        <v>93</v>
      </c>
      <c r="B198" s="35" t="s">
        <v>82</v>
      </c>
      <c r="C198" s="35" t="s">
        <v>14</v>
      </c>
      <c r="D198" s="35">
        <v>35</v>
      </c>
      <c r="E198" s="35">
        <v>5000</v>
      </c>
      <c r="F198" s="35">
        <v>17</v>
      </c>
      <c r="G198" s="35">
        <v>2</v>
      </c>
      <c r="H198" s="32" t="s">
        <v>199</v>
      </c>
      <c r="I198" s="32">
        <v>5</v>
      </c>
      <c r="J198" s="32">
        <v>4</v>
      </c>
      <c r="K198" s="32" t="s">
        <v>275</v>
      </c>
      <c r="L198" s="32" t="s">
        <v>155</v>
      </c>
      <c r="M198" s="42" t="s">
        <v>249</v>
      </c>
      <c r="N198" s="35">
        <v>1.6999999999999999E-3</v>
      </c>
      <c r="O198" s="51">
        <v>2.3400000000000318</v>
      </c>
      <c r="P198" s="51">
        <v>2.3400000000000318</v>
      </c>
      <c r="Q198" s="64">
        <v>1</v>
      </c>
      <c r="R198" s="76">
        <v>3.2122576962988578</v>
      </c>
      <c r="S198" s="76">
        <v>3.2122576962988578</v>
      </c>
      <c r="T198" s="66">
        <v>3.3683438474870009</v>
      </c>
      <c r="U198" s="67">
        <f t="shared" si="7"/>
        <v>3.2903007718929294</v>
      </c>
      <c r="V198" s="66">
        <v>3.2966253817441462</v>
      </c>
    </row>
    <row r="199" spans="1:22">
      <c r="A199" s="32" t="s">
        <v>93</v>
      </c>
      <c r="B199" s="35" t="s">
        <v>82</v>
      </c>
      <c r="C199" s="35" t="s">
        <v>14</v>
      </c>
      <c r="D199" s="35">
        <v>35</v>
      </c>
      <c r="E199" s="35">
        <v>5000</v>
      </c>
      <c r="F199" s="35">
        <v>17</v>
      </c>
      <c r="G199" s="35">
        <v>2</v>
      </c>
      <c r="H199" s="32" t="s">
        <v>199</v>
      </c>
      <c r="I199" s="32">
        <v>6</v>
      </c>
      <c r="J199" s="32">
        <v>5</v>
      </c>
      <c r="K199" s="32" t="s">
        <v>275</v>
      </c>
      <c r="L199" s="32" t="s">
        <v>154</v>
      </c>
      <c r="M199" s="42" t="s">
        <v>249</v>
      </c>
      <c r="N199" s="35">
        <v>2.9999999999999997E-4</v>
      </c>
      <c r="O199" s="51">
        <v>6.1600000000000819</v>
      </c>
      <c r="P199" s="51">
        <v>6.1600000000000819</v>
      </c>
      <c r="Q199" s="64">
        <v>1</v>
      </c>
      <c r="R199" s="76">
        <v>3.1946607265250169</v>
      </c>
      <c r="S199" s="76">
        <v>3.1946607265250169</v>
      </c>
      <c r="T199" s="66">
        <v>3.330093515358362</v>
      </c>
      <c r="U199" s="67">
        <f t="shared" si="7"/>
        <v>3.2623771209416894</v>
      </c>
      <c r="V199" s="66">
        <v>3.270144781144781</v>
      </c>
    </row>
    <row r="200" spans="1:22">
      <c r="A200" s="32" t="s">
        <v>93</v>
      </c>
      <c r="B200" s="35" t="s">
        <v>82</v>
      </c>
      <c r="C200" s="35" t="s">
        <v>22</v>
      </c>
      <c r="D200" s="35">
        <v>35</v>
      </c>
      <c r="E200" s="35">
        <v>5000</v>
      </c>
      <c r="F200" s="35">
        <v>17</v>
      </c>
      <c r="G200" s="35">
        <v>3</v>
      </c>
      <c r="H200" s="32" t="s">
        <v>194</v>
      </c>
      <c r="I200" s="32">
        <v>1</v>
      </c>
      <c r="J200" s="32">
        <v>1</v>
      </c>
      <c r="K200" s="32" t="s">
        <v>275</v>
      </c>
      <c r="L200" s="32" t="s">
        <v>153</v>
      </c>
      <c r="M200" s="42" t="s">
        <v>305</v>
      </c>
      <c r="N200" s="35">
        <v>6.9999999999999999E-4</v>
      </c>
      <c r="O200" s="51">
        <v>2.546999999999997</v>
      </c>
      <c r="P200" s="51">
        <v>2.546999999999997</v>
      </c>
      <c r="Q200" s="64">
        <v>1</v>
      </c>
      <c r="R200" s="76">
        <v>3.2199935111751978</v>
      </c>
      <c r="S200" s="76">
        <v>3.2199935111751978</v>
      </c>
      <c r="T200" s="66">
        <v>3.3749786414565821</v>
      </c>
      <c r="U200" s="67">
        <f t="shared" si="7"/>
        <v>3.2974860763158897</v>
      </c>
      <c r="V200" s="66">
        <v>3.3035496105655269</v>
      </c>
    </row>
    <row r="201" spans="1:22">
      <c r="A201" s="32" t="s">
        <v>93</v>
      </c>
      <c r="B201" s="35" t="s">
        <v>82</v>
      </c>
      <c r="C201" s="35" t="s">
        <v>22</v>
      </c>
      <c r="D201" s="35">
        <v>35</v>
      </c>
      <c r="E201" s="35">
        <v>5000</v>
      </c>
      <c r="F201" s="35">
        <v>17</v>
      </c>
      <c r="G201" s="35">
        <v>3</v>
      </c>
      <c r="H201" s="32" t="s">
        <v>194</v>
      </c>
      <c r="I201" s="32">
        <v>2</v>
      </c>
      <c r="J201" s="32">
        <v>2</v>
      </c>
      <c r="K201" s="32" t="s">
        <v>276</v>
      </c>
      <c r="L201" s="32" t="s">
        <v>154</v>
      </c>
      <c r="M201" s="42" t="s">
        <v>305</v>
      </c>
      <c r="N201" s="35">
        <v>0</v>
      </c>
      <c r="O201" s="51">
        <v>0.24700000000007094</v>
      </c>
      <c r="P201" s="51">
        <v>0.24700000000007094</v>
      </c>
      <c r="Q201" s="64">
        <v>1</v>
      </c>
      <c r="R201" s="76">
        <v>3.0342842797783929</v>
      </c>
      <c r="S201" s="76">
        <v>3.0342842797783929</v>
      </c>
      <c r="T201" s="66">
        <v>3.1517245256500348</v>
      </c>
      <c r="U201" s="67">
        <f t="shared" si="7"/>
        <v>3.0930044027142136</v>
      </c>
      <c r="V201" s="66">
        <v>3.0986295789113321</v>
      </c>
    </row>
    <row r="202" spans="1:22">
      <c r="A202" s="32" t="s">
        <v>93</v>
      </c>
      <c r="B202" s="35" t="s">
        <v>82</v>
      </c>
      <c r="C202" s="35" t="s">
        <v>22</v>
      </c>
      <c r="D202" s="35">
        <v>35</v>
      </c>
      <c r="E202" s="35">
        <v>5000</v>
      </c>
      <c r="F202" s="35">
        <v>17</v>
      </c>
      <c r="G202" s="35">
        <v>3</v>
      </c>
      <c r="H202" s="32" t="s">
        <v>194</v>
      </c>
      <c r="I202" s="32">
        <v>3</v>
      </c>
      <c r="J202" s="32">
        <v>3</v>
      </c>
      <c r="K202" s="32" t="s">
        <v>276</v>
      </c>
      <c r="L202" s="32" t="s">
        <v>155</v>
      </c>
      <c r="M202" s="42" t="s">
        <v>243</v>
      </c>
      <c r="N202" s="35">
        <v>6.9999999999999999E-4</v>
      </c>
      <c r="O202" s="51">
        <v>2.3590000000000373</v>
      </c>
      <c r="P202" s="51">
        <v>2.3590000000000373</v>
      </c>
      <c r="Q202" s="64">
        <v>1</v>
      </c>
      <c r="R202" s="76">
        <v>3.0704840964697659</v>
      </c>
      <c r="S202" s="76">
        <v>3.0704840964697659</v>
      </c>
      <c r="T202" s="66">
        <v>3.195039046302695</v>
      </c>
      <c r="U202" s="67">
        <f t="shared" si="7"/>
        <v>3.1327615713862302</v>
      </c>
      <c r="V202" s="66">
        <v>3.1390030917210581</v>
      </c>
    </row>
    <row r="203" spans="1:22">
      <c r="A203" s="32" t="s">
        <v>93</v>
      </c>
      <c r="B203" s="35" t="s">
        <v>82</v>
      </c>
      <c r="C203" s="35" t="s">
        <v>22</v>
      </c>
      <c r="D203" s="35">
        <v>35</v>
      </c>
      <c r="E203" s="35">
        <v>5000</v>
      </c>
      <c r="F203" s="35">
        <v>17</v>
      </c>
      <c r="G203" s="35">
        <v>3</v>
      </c>
      <c r="H203" s="32" t="s">
        <v>194</v>
      </c>
      <c r="I203" s="32">
        <v>4</v>
      </c>
      <c r="K203" s="32" t="s">
        <v>275</v>
      </c>
      <c r="L203" s="32" t="s">
        <v>156</v>
      </c>
      <c r="M203" s="42" t="s">
        <v>243</v>
      </c>
      <c r="N203" s="35"/>
      <c r="O203" s="51"/>
      <c r="P203" s="51"/>
      <c r="Q203" s="64"/>
    </row>
    <row r="204" spans="1:22">
      <c r="A204" s="32" t="s">
        <v>93</v>
      </c>
      <c r="B204" s="35" t="s">
        <v>82</v>
      </c>
      <c r="C204" s="35" t="s">
        <v>22</v>
      </c>
      <c r="D204" s="35">
        <v>35</v>
      </c>
      <c r="E204" s="35">
        <v>5000</v>
      </c>
      <c r="F204" s="35">
        <v>17</v>
      </c>
      <c r="G204" s="35">
        <v>3</v>
      </c>
      <c r="H204" s="32" t="s">
        <v>194</v>
      </c>
      <c r="I204" s="32">
        <v>5</v>
      </c>
      <c r="J204" s="32">
        <v>4</v>
      </c>
      <c r="K204" s="32" t="s">
        <v>276</v>
      </c>
      <c r="L204" s="32" t="s">
        <v>157</v>
      </c>
      <c r="M204" s="42" t="s">
        <v>243</v>
      </c>
      <c r="N204" s="35">
        <v>0</v>
      </c>
      <c r="O204" s="51">
        <v>5.9400000000000546</v>
      </c>
      <c r="P204" s="51">
        <v>5.9400000000000546</v>
      </c>
      <c r="Q204" s="64">
        <v>1</v>
      </c>
      <c r="R204" s="76">
        <v>3.1665545517720641</v>
      </c>
      <c r="S204" s="76">
        <v>3.1665545517720641</v>
      </c>
      <c r="T204" s="66">
        <v>3.3042442141623489</v>
      </c>
      <c r="U204" s="67">
        <f t="shared" ref="U204:U234" si="8">AVERAGE(S204:T204)</f>
        <v>3.2353993829672065</v>
      </c>
      <c r="V204" s="66">
        <v>3.241329576502733</v>
      </c>
    </row>
    <row r="205" spans="1:22">
      <c r="A205" s="32" t="s">
        <v>93</v>
      </c>
      <c r="B205" s="35" t="s">
        <v>82</v>
      </c>
      <c r="C205" s="35" t="s">
        <v>22</v>
      </c>
      <c r="D205" s="35">
        <v>35</v>
      </c>
      <c r="E205" s="35">
        <v>5000</v>
      </c>
      <c r="F205" s="35">
        <v>17</v>
      </c>
      <c r="G205" s="35">
        <v>3</v>
      </c>
      <c r="H205" s="32" t="s">
        <v>194</v>
      </c>
      <c r="I205" s="32">
        <v>6</v>
      </c>
      <c r="J205" s="32">
        <v>5</v>
      </c>
      <c r="K205" s="32" t="s">
        <v>275</v>
      </c>
      <c r="L205" s="32" t="s">
        <v>158</v>
      </c>
      <c r="M205" s="42" t="s">
        <v>243</v>
      </c>
      <c r="N205" s="35">
        <v>0</v>
      </c>
      <c r="O205" s="51">
        <v>1.0099999999999909</v>
      </c>
      <c r="P205" s="51">
        <v>1.0099999999999909</v>
      </c>
      <c r="Q205" s="64">
        <v>1</v>
      </c>
      <c r="R205" s="76">
        <v>3.1710843373493982</v>
      </c>
      <c r="S205" s="76">
        <v>3.1710843373493982</v>
      </c>
      <c r="T205" s="66">
        <v>3.313978309648467</v>
      </c>
      <c r="U205" s="67">
        <f t="shared" si="8"/>
        <v>3.2425313234989326</v>
      </c>
      <c r="V205" s="66">
        <v>3.235709515859766</v>
      </c>
    </row>
    <row r="206" spans="1:22">
      <c r="A206" s="33" t="s">
        <v>118</v>
      </c>
      <c r="B206" s="37" t="s">
        <v>65</v>
      </c>
      <c r="C206" s="37" t="s">
        <v>21</v>
      </c>
      <c r="D206" s="35">
        <v>44</v>
      </c>
      <c r="E206" s="35">
        <v>10000</v>
      </c>
      <c r="F206" s="35">
        <v>21</v>
      </c>
      <c r="G206" s="37">
        <v>1</v>
      </c>
      <c r="H206" s="33" t="s">
        <v>197</v>
      </c>
      <c r="I206" s="33">
        <v>1</v>
      </c>
      <c r="J206" s="33">
        <v>1</v>
      </c>
      <c r="K206" s="33" t="s">
        <v>275</v>
      </c>
      <c r="L206" s="33" t="s">
        <v>154</v>
      </c>
      <c r="M206" s="43" t="s">
        <v>342</v>
      </c>
      <c r="N206" s="35">
        <v>5.5500000000000001E-2</v>
      </c>
      <c r="O206" s="51" t="s">
        <v>395</v>
      </c>
      <c r="P206" s="51"/>
      <c r="Q206" s="64">
        <v>0</v>
      </c>
      <c r="R206" s="76">
        <v>3.2267445578231291</v>
      </c>
      <c r="S206" s="76">
        <v>3.2267445578231291</v>
      </c>
      <c r="T206" s="66">
        <v>3.165973140495868</v>
      </c>
      <c r="U206" s="67">
        <f t="shared" si="8"/>
        <v>3.1963588491594983</v>
      </c>
      <c r="V206" s="66">
        <v>3.197296457219251</v>
      </c>
    </row>
    <row r="207" spans="1:22">
      <c r="A207" s="33" t="s">
        <v>118</v>
      </c>
      <c r="B207" s="37" t="s">
        <v>65</v>
      </c>
      <c r="C207" s="37" t="s">
        <v>21</v>
      </c>
      <c r="D207" s="35">
        <v>44</v>
      </c>
      <c r="E207" s="35">
        <v>10000</v>
      </c>
      <c r="F207" s="35">
        <v>21</v>
      </c>
      <c r="G207" s="37">
        <v>1</v>
      </c>
      <c r="H207" s="33" t="s">
        <v>197</v>
      </c>
      <c r="I207" s="33">
        <v>2</v>
      </c>
      <c r="J207" s="33">
        <v>2</v>
      </c>
      <c r="K207" s="33" t="s">
        <v>276</v>
      </c>
      <c r="L207" s="33" t="s">
        <v>155</v>
      </c>
      <c r="M207" s="43" t="s">
        <v>342</v>
      </c>
      <c r="N207" s="35">
        <v>1.6999999999999999E-3</v>
      </c>
      <c r="O207" s="51">
        <v>1.2760000000000673</v>
      </c>
      <c r="P207" s="51">
        <v>1.2760000000000673</v>
      </c>
      <c r="Q207" s="64">
        <v>1</v>
      </c>
      <c r="R207" s="76">
        <v>3.1224712525667351</v>
      </c>
      <c r="S207" s="76">
        <v>3.1224712525667351</v>
      </c>
      <c r="T207" s="66">
        <v>3.0387351629502568</v>
      </c>
      <c r="U207" s="67">
        <f t="shared" si="8"/>
        <v>3.0806032077584957</v>
      </c>
      <c r="V207" s="66">
        <v>3.083652115059222</v>
      </c>
    </row>
    <row r="208" spans="1:22">
      <c r="A208" s="33" t="s">
        <v>118</v>
      </c>
      <c r="B208" s="37" t="s">
        <v>65</v>
      </c>
      <c r="C208" s="37" t="s">
        <v>21</v>
      </c>
      <c r="D208" s="35">
        <v>44</v>
      </c>
      <c r="E208" s="35">
        <v>10000</v>
      </c>
      <c r="F208" s="35">
        <v>21</v>
      </c>
      <c r="G208" s="37">
        <v>1</v>
      </c>
      <c r="H208" s="33" t="s">
        <v>197</v>
      </c>
      <c r="I208" s="33">
        <v>3</v>
      </c>
      <c r="J208" s="33">
        <v>3</v>
      </c>
      <c r="K208" s="33" t="s">
        <v>275</v>
      </c>
      <c r="L208" s="33" t="s">
        <v>158</v>
      </c>
      <c r="M208" s="43" t="s">
        <v>342</v>
      </c>
      <c r="N208" s="35">
        <v>4.2099999999999999E-2</v>
      </c>
      <c r="O208" s="51">
        <v>-1.1400000000001</v>
      </c>
      <c r="P208" s="51">
        <v>-1.1400000000001</v>
      </c>
      <c r="Q208" s="64">
        <v>1</v>
      </c>
      <c r="R208" s="76">
        <v>3.1587350810624351</v>
      </c>
      <c r="S208" s="76">
        <v>3.1587350810624351</v>
      </c>
      <c r="T208" s="66">
        <v>3.0477931740614328</v>
      </c>
      <c r="U208" s="67">
        <f t="shared" si="8"/>
        <v>3.1032641275619337</v>
      </c>
      <c r="V208" s="66">
        <v>3.1051495422177009</v>
      </c>
    </row>
    <row r="209" spans="1:22">
      <c r="A209" s="33" t="s">
        <v>118</v>
      </c>
      <c r="B209" s="37" t="s">
        <v>65</v>
      </c>
      <c r="C209" s="37" t="s">
        <v>21</v>
      </c>
      <c r="D209" s="35">
        <v>44</v>
      </c>
      <c r="E209" s="35">
        <v>10000</v>
      </c>
      <c r="F209" s="35">
        <v>21</v>
      </c>
      <c r="G209" s="37">
        <v>1</v>
      </c>
      <c r="H209" s="33" t="s">
        <v>197</v>
      </c>
      <c r="I209" s="33">
        <v>4</v>
      </c>
      <c r="J209" s="33">
        <v>4</v>
      </c>
      <c r="K209" s="33" t="s">
        <v>276</v>
      </c>
      <c r="L209" s="33" t="s">
        <v>157</v>
      </c>
      <c r="M209" s="43" t="s">
        <v>342</v>
      </c>
      <c r="N209" s="35">
        <v>1E-3</v>
      </c>
      <c r="O209" s="51" t="s">
        <v>395</v>
      </c>
      <c r="P209" s="51"/>
      <c r="Q209" s="64">
        <v>0</v>
      </c>
      <c r="R209" s="76">
        <v>3.0615083333333328</v>
      </c>
      <c r="S209" s="76">
        <v>3.0615083333333328</v>
      </c>
      <c r="T209" s="66">
        <v>2.9549609455292911</v>
      </c>
      <c r="U209" s="67">
        <f t="shared" si="8"/>
        <v>3.0082346394313122</v>
      </c>
      <c r="V209" s="66">
        <v>3.0093627084042192</v>
      </c>
    </row>
    <row r="210" spans="1:22">
      <c r="A210" s="33" t="s">
        <v>118</v>
      </c>
      <c r="B210" s="37" t="s">
        <v>65</v>
      </c>
      <c r="C210" s="37" t="s">
        <v>21</v>
      </c>
      <c r="D210" s="35">
        <v>44</v>
      </c>
      <c r="E210" s="35">
        <v>10000</v>
      </c>
      <c r="F210" s="35">
        <v>21</v>
      </c>
      <c r="G210" s="37">
        <v>1</v>
      </c>
      <c r="H210" s="33" t="s">
        <v>197</v>
      </c>
      <c r="I210" s="33">
        <v>5</v>
      </c>
      <c r="J210" s="33"/>
      <c r="K210" s="33" t="s">
        <v>276</v>
      </c>
      <c r="L210" s="33" t="s">
        <v>156</v>
      </c>
      <c r="M210" s="43" t="s">
        <v>342</v>
      </c>
      <c r="N210" s="35"/>
      <c r="O210" s="51"/>
      <c r="P210" s="51"/>
      <c r="Q210" s="64"/>
      <c r="R210" s="76">
        <v>4.3390000000000004</v>
      </c>
      <c r="S210" s="76">
        <v>4.3390000000000004</v>
      </c>
      <c r="T210" s="66">
        <v>4.1379999999999999</v>
      </c>
      <c r="U210" s="67">
        <f t="shared" si="8"/>
        <v>4.2385000000000002</v>
      </c>
      <c r="V210" s="66">
        <v>4.2389999999999999</v>
      </c>
    </row>
    <row r="211" spans="1:22">
      <c r="A211" s="33" t="s">
        <v>118</v>
      </c>
      <c r="B211" s="37" t="s">
        <v>65</v>
      </c>
      <c r="C211" s="37" t="s">
        <v>21</v>
      </c>
      <c r="D211" s="35">
        <v>44</v>
      </c>
      <c r="E211" s="35">
        <v>10000</v>
      </c>
      <c r="F211" s="35">
        <v>21</v>
      </c>
      <c r="G211" s="37">
        <v>1</v>
      </c>
      <c r="H211" s="33" t="s">
        <v>197</v>
      </c>
      <c r="I211" s="33">
        <v>6</v>
      </c>
      <c r="J211" s="33">
        <v>5</v>
      </c>
      <c r="K211" s="33" t="s">
        <v>275</v>
      </c>
      <c r="L211" s="33" t="s">
        <v>153</v>
      </c>
      <c r="M211" s="43" t="s">
        <v>342</v>
      </c>
      <c r="N211" s="35">
        <v>2.5000000000000001E-3</v>
      </c>
      <c r="O211" s="51">
        <v>14.323000000000093</v>
      </c>
      <c r="P211" s="51">
        <v>14.323000000000093</v>
      </c>
      <c r="Q211" s="64">
        <v>1</v>
      </c>
      <c r="R211" s="76">
        <v>3.2568682983682979</v>
      </c>
      <c r="S211" s="76">
        <v>3.2568682983682979</v>
      </c>
      <c r="T211" s="66">
        <v>3.096384028892456</v>
      </c>
      <c r="U211" s="67">
        <f t="shared" si="8"/>
        <v>3.176626163630377</v>
      </c>
      <c r="V211" s="66">
        <v>3.194026656511805</v>
      </c>
    </row>
    <row r="212" spans="1:22">
      <c r="A212" s="33" t="s">
        <v>118</v>
      </c>
      <c r="B212" s="37" t="s">
        <v>65</v>
      </c>
      <c r="C212" s="37" t="s">
        <v>14</v>
      </c>
      <c r="D212" s="35">
        <v>44</v>
      </c>
      <c r="E212" s="35">
        <v>10000</v>
      </c>
      <c r="F212" s="35">
        <v>21</v>
      </c>
      <c r="G212" s="37">
        <v>2</v>
      </c>
      <c r="H212" s="33" t="s">
        <v>194</v>
      </c>
      <c r="I212" s="33">
        <v>1</v>
      </c>
      <c r="J212" s="33">
        <v>1</v>
      </c>
      <c r="K212" s="33" t="s">
        <v>275</v>
      </c>
      <c r="L212" s="33" t="s">
        <v>153</v>
      </c>
      <c r="M212" s="43" t="s">
        <v>343</v>
      </c>
      <c r="N212" s="35">
        <v>0</v>
      </c>
      <c r="O212" s="51">
        <v>9.3900000000000148</v>
      </c>
      <c r="P212" s="51">
        <v>9.3900000000000148</v>
      </c>
      <c r="Q212" s="64">
        <v>1</v>
      </c>
      <c r="R212" s="76">
        <v>3.215430852871219</v>
      </c>
      <c r="S212" s="76">
        <v>3.215430852871219</v>
      </c>
      <c r="T212" s="66">
        <v>3.1693537162162162</v>
      </c>
      <c r="U212" s="67">
        <f t="shared" si="8"/>
        <v>3.1923922845437174</v>
      </c>
      <c r="V212" s="66">
        <v>3.1959394957983189</v>
      </c>
    </row>
    <row r="213" spans="1:22">
      <c r="A213" s="33" t="s">
        <v>118</v>
      </c>
      <c r="B213" s="37" t="s">
        <v>65</v>
      </c>
      <c r="C213" s="37" t="s">
        <v>14</v>
      </c>
      <c r="D213" s="35">
        <v>44</v>
      </c>
      <c r="E213" s="35">
        <v>10000</v>
      </c>
      <c r="F213" s="35">
        <v>21</v>
      </c>
      <c r="G213" s="37">
        <v>2</v>
      </c>
      <c r="H213" s="33" t="s">
        <v>194</v>
      </c>
      <c r="I213" s="33">
        <v>2</v>
      </c>
      <c r="J213" s="33">
        <v>2</v>
      </c>
      <c r="K213" s="33" t="s">
        <v>276</v>
      </c>
      <c r="L213" s="33" t="s">
        <v>154</v>
      </c>
      <c r="M213" s="43" t="s">
        <v>343</v>
      </c>
      <c r="N213" s="35">
        <v>2.9999999999999997E-4</v>
      </c>
      <c r="O213" s="51" t="s">
        <v>395</v>
      </c>
      <c r="P213" s="51"/>
      <c r="Q213" s="64">
        <v>0</v>
      </c>
      <c r="R213" s="76">
        <v>3.1432436462216198</v>
      </c>
      <c r="S213" s="76">
        <v>3.1432436462216198</v>
      </c>
      <c r="T213" s="66">
        <v>3.083953629032258</v>
      </c>
      <c r="U213" s="67">
        <f t="shared" si="8"/>
        <v>3.1135986376269389</v>
      </c>
      <c r="V213" s="66">
        <v>3.115713092852372</v>
      </c>
    </row>
    <row r="214" spans="1:22">
      <c r="A214" s="33" t="s">
        <v>118</v>
      </c>
      <c r="B214" s="37" t="s">
        <v>65</v>
      </c>
      <c r="C214" s="37" t="s">
        <v>14</v>
      </c>
      <c r="D214" s="35">
        <v>44</v>
      </c>
      <c r="E214" s="35">
        <v>10000</v>
      </c>
      <c r="F214" s="35">
        <v>21</v>
      </c>
      <c r="G214" s="37">
        <v>2</v>
      </c>
      <c r="H214" s="33" t="s">
        <v>194</v>
      </c>
      <c r="I214" s="33">
        <v>3</v>
      </c>
      <c r="J214" s="33">
        <v>3</v>
      </c>
      <c r="K214" s="33" t="s">
        <v>276</v>
      </c>
      <c r="L214" s="33" t="s">
        <v>155</v>
      </c>
      <c r="M214" s="43" t="s">
        <v>244</v>
      </c>
      <c r="N214" s="35">
        <v>0</v>
      </c>
      <c r="O214" s="51">
        <v>2.07000000000005</v>
      </c>
      <c r="P214" s="51">
        <v>2.07000000000005</v>
      </c>
      <c r="Q214" s="64">
        <v>1</v>
      </c>
      <c r="R214" s="76">
        <v>3.0837313281514032</v>
      </c>
      <c r="S214" s="76">
        <v>3.0837313281514032</v>
      </c>
      <c r="T214" s="66">
        <v>3.0090751347708902</v>
      </c>
      <c r="U214" s="67">
        <f t="shared" si="8"/>
        <v>3.0464032314611469</v>
      </c>
      <c r="V214" s="66">
        <v>3.0460795035223081</v>
      </c>
    </row>
    <row r="215" spans="1:22">
      <c r="A215" s="33" t="s">
        <v>118</v>
      </c>
      <c r="B215" s="37" t="s">
        <v>65</v>
      </c>
      <c r="C215" s="37" t="s">
        <v>14</v>
      </c>
      <c r="D215" s="35">
        <v>44</v>
      </c>
      <c r="E215" s="35">
        <v>10000</v>
      </c>
      <c r="F215" s="35">
        <v>21</v>
      </c>
      <c r="G215" s="37">
        <v>2</v>
      </c>
      <c r="H215" s="33" t="s">
        <v>194</v>
      </c>
      <c r="I215" s="33">
        <v>4</v>
      </c>
      <c r="J215" s="33"/>
      <c r="K215" s="33" t="s">
        <v>275</v>
      </c>
      <c r="L215" s="33" t="s">
        <v>156</v>
      </c>
      <c r="M215" s="43" t="s">
        <v>244</v>
      </c>
      <c r="N215" s="35"/>
      <c r="O215" s="51"/>
      <c r="P215" s="51"/>
      <c r="Q215" s="64"/>
      <c r="R215" s="76">
        <v>3.681</v>
      </c>
      <c r="S215" s="76">
        <v>3.681</v>
      </c>
      <c r="T215" s="66">
        <v>3.5640000000000001</v>
      </c>
      <c r="U215" s="67">
        <f t="shared" si="8"/>
        <v>3.6225000000000001</v>
      </c>
      <c r="V215" s="66">
        <v>3.6230000000000002</v>
      </c>
    </row>
    <row r="216" spans="1:22">
      <c r="A216" s="33" t="s">
        <v>118</v>
      </c>
      <c r="B216" s="37" t="s">
        <v>65</v>
      </c>
      <c r="C216" s="37" t="s">
        <v>14</v>
      </c>
      <c r="D216" s="35">
        <v>44</v>
      </c>
      <c r="E216" s="35">
        <v>10000</v>
      </c>
      <c r="F216" s="35">
        <v>21</v>
      </c>
      <c r="G216" s="37">
        <v>2</v>
      </c>
      <c r="H216" s="33" t="s">
        <v>194</v>
      </c>
      <c r="I216" s="33">
        <v>5</v>
      </c>
      <c r="J216" s="33">
        <v>4</v>
      </c>
      <c r="K216" s="33" t="s">
        <v>276</v>
      </c>
      <c r="L216" s="33" t="s">
        <v>157</v>
      </c>
      <c r="M216" s="43" t="s">
        <v>244</v>
      </c>
      <c r="N216" s="35">
        <v>6.9999999999999999E-4</v>
      </c>
      <c r="O216" s="51" t="s">
        <v>395</v>
      </c>
      <c r="P216" s="51"/>
      <c r="Q216" s="64">
        <v>0</v>
      </c>
      <c r="R216" s="76">
        <v>3.1114407356948219</v>
      </c>
      <c r="S216" s="76">
        <v>3.1114407356948219</v>
      </c>
      <c r="T216" s="66">
        <v>3.020613536379019</v>
      </c>
      <c r="U216" s="67">
        <f t="shared" si="8"/>
        <v>3.0660271360369205</v>
      </c>
      <c r="V216" s="66">
        <v>3.0716001339584729</v>
      </c>
    </row>
    <row r="217" spans="1:22">
      <c r="A217" s="33" t="s">
        <v>118</v>
      </c>
      <c r="B217" s="37" t="s">
        <v>65</v>
      </c>
      <c r="C217" s="37" t="s">
        <v>14</v>
      </c>
      <c r="D217" s="35">
        <v>44</v>
      </c>
      <c r="E217" s="35">
        <v>10000</v>
      </c>
      <c r="F217" s="35">
        <v>21</v>
      </c>
      <c r="G217" s="37">
        <v>2</v>
      </c>
      <c r="H217" s="33" t="s">
        <v>194</v>
      </c>
      <c r="I217" s="33">
        <v>6</v>
      </c>
      <c r="J217" s="33">
        <v>5</v>
      </c>
      <c r="K217" s="33" t="s">
        <v>275</v>
      </c>
      <c r="L217" s="33" t="s">
        <v>158</v>
      </c>
      <c r="M217" s="43" t="s">
        <v>244</v>
      </c>
      <c r="N217" s="35">
        <v>0</v>
      </c>
      <c r="O217" s="51">
        <v>3.4800000000000182</v>
      </c>
      <c r="P217" s="51">
        <v>3.4800000000000182</v>
      </c>
      <c r="Q217" s="64">
        <v>1</v>
      </c>
      <c r="R217" s="76">
        <v>3.1197525597269631</v>
      </c>
      <c r="S217" s="76">
        <v>3.1197525597269631</v>
      </c>
      <c r="T217" s="66">
        <v>3.0347049678945588</v>
      </c>
      <c r="U217" s="67">
        <f t="shared" si="8"/>
        <v>3.0772287638107612</v>
      </c>
      <c r="V217" s="66">
        <v>3.0851951791094741</v>
      </c>
    </row>
    <row r="218" spans="1:22">
      <c r="A218" s="33" t="s">
        <v>118</v>
      </c>
      <c r="B218" s="37" t="s">
        <v>65</v>
      </c>
      <c r="C218" s="37" t="s">
        <v>22</v>
      </c>
      <c r="D218" s="35">
        <v>44</v>
      </c>
      <c r="E218" s="35">
        <v>10000</v>
      </c>
      <c r="F218" s="35">
        <v>21</v>
      </c>
      <c r="G218" s="37">
        <v>3</v>
      </c>
      <c r="H218" s="33" t="s">
        <v>199</v>
      </c>
      <c r="I218" s="33">
        <v>1</v>
      </c>
      <c r="J218" s="33"/>
      <c r="K218" s="33" t="s">
        <v>276</v>
      </c>
      <c r="L218" s="33" t="s">
        <v>156</v>
      </c>
      <c r="M218" s="43" t="s">
        <v>344</v>
      </c>
      <c r="N218" s="35"/>
      <c r="O218" s="51"/>
      <c r="P218" s="51"/>
      <c r="Q218" s="64"/>
      <c r="R218" s="76">
        <v>3.6179999999999999</v>
      </c>
      <c r="S218" s="76">
        <v>3.6179999999999999</v>
      </c>
      <c r="T218" s="66">
        <v>3.4580000000000002</v>
      </c>
      <c r="U218" s="67">
        <f t="shared" si="8"/>
        <v>3.5380000000000003</v>
      </c>
      <c r="V218" s="66">
        <v>3.5379999999999998</v>
      </c>
    </row>
    <row r="219" spans="1:22">
      <c r="A219" s="33" t="s">
        <v>118</v>
      </c>
      <c r="B219" s="37" t="s">
        <v>65</v>
      </c>
      <c r="C219" s="37" t="s">
        <v>22</v>
      </c>
      <c r="D219" s="35">
        <v>44</v>
      </c>
      <c r="E219" s="35">
        <v>10000</v>
      </c>
      <c r="F219" s="35">
        <v>21</v>
      </c>
      <c r="G219" s="37">
        <v>3</v>
      </c>
      <c r="H219" s="33" t="s">
        <v>199</v>
      </c>
      <c r="I219" s="33">
        <v>2</v>
      </c>
      <c r="J219" s="33">
        <v>1</v>
      </c>
      <c r="K219" s="33" t="s">
        <v>275</v>
      </c>
      <c r="L219" s="33" t="s">
        <v>157</v>
      </c>
      <c r="M219" s="43" t="s">
        <v>344</v>
      </c>
      <c r="N219" s="35">
        <v>2.9999999999999997E-4</v>
      </c>
      <c r="O219" s="51">
        <v>5.3899999999999864</v>
      </c>
      <c r="P219" s="51">
        <v>5.3899999999999864</v>
      </c>
      <c r="Q219" s="64">
        <v>1</v>
      </c>
      <c r="R219" s="76">
        <v>3.095987573351743</v>
      </c>
      <c r="S219" s="76">
        <v>3.095987573351743</v>
      </c>
      <c r="T219" s="66">
        <v>3.017206322229776</v>
      </c>
      <c r="U219" s="67">
        <f t="shared" si="8"/>
        <v>3.0565969477907595</v>
      </c>
      <c r="V219" s="66">
        <v>3.076025167785235</v>
      </c>
    </row>
    <row r="220" spans="1:22">
      <c r="A220" s="33" t="s">
        <v>118</v>
      </c>
      <c r="B220" s="37" t="s">
        <v>65</v>
      </c>
      <c r="C220" s="37" t="s">
        <v>22</v>
      </c>
      <c r="D220" s="35">
        <v>44</v>
      </c>
      <c r="E220" s="35">
        <v>10000</v>
      </c>
      <c r="F220" s="35">
        <v>21</v>
      </c>
      <c r="G220" s="37">
        <v>3</v>
      </c>
      <c r="H220" s="33" t="s">
        <v>199</v>
      </c>
      <c r="I220" s="33">
        <v>3</v>
      </c>
      <c r="J220" s="33">
        <v>2</v>
      </c>
      <c r="K220" s="33" t="s">
        <v>276</v>
      </c>
      <c r="L220" s="33" t="s">
        <v>153</v>
      </c>
      <c r="M220" s="43" t="s">
        <v>257</v>
      </c>
      <c r="N220" s="35">
        <v>0</v>
      </c>
      <c r="O220" s="51">
        <v>5.9199999999999591</v>
      </c>
      <c r="P220" s="51">
        <v>5.9199999999999591</v>
      </c>
      <c r="Q220" s="64">
        <v>1</v>
      </c>
      <c r="R220" s="76">
        <v>3.1184904414320469</v>
      </c>
      <c r="S220" s="76">
        <v>3.1184904414320469</v>
      </c>
      <c r="T220" s="66">
        <v>3.032786767226602</v>
      </c>
      <c r="U220" s="67">
        <f t="shared" si="8"/>
        <v>3.0756386043293245</v>
      </c>
      <c r="V220" s="66">
        <v>3.081663940013633</v>
      </c>
    </row>
    <row r="221" spans="1:22">
      <c r="A221" s="33" t="s">
        <v>118</v>
      </c>
      <c r="B221" s="37" t="s">
        <v>65</v>
      </c>
      <c r="C221" s="37" t="s">
        <v>22</v>
      </c>
      <c r="D221" s="35">
        <v>44</v>
      </c>
      <c r="E221" s="35">
        <v>10000</v>
      </c>
      <c r="F221" s="35">
        <v>21</v>
      </c>
      <c r="G221" s="37">
        <v>3</v>
      </c>
      <c r="H221" s="33" t="s">
        <v>199</v>
      </c>
      <c r="I221" s="33">
        <v>4</v>
      </c>
      <c r="J221" s="33">
        <v>3</v>
      </c>
      <c r="K221" s="33" t="s">
        <v>276</v>
      </c>
      <c r="L221" s="33" t="s">
        <v>158</v>
      </c>
      <c r="M221" s="43" t="s">
        <v>257</v>
      </c>
      <c r="N221" s="35">
        <v>0.12180000000000001</v>
      </c>
      <c r="O221" s="51">
        <v>0.23000000000001819</v>
      </c>
      <c r="P221" s="51">
        <v>0.23000000000001819</v>
      </c>
      <c r="Q221" s="64">
        <v>1</v>
      </c>
      <c r="R221" s="76">
        <v>3.110979649122807</v>
      </c>
      <c r="S221" s="76">
        <v>3.110979649122807</v>
      </c>
      <c r="T221" s="66">
        <v>2.982753513884127</v>
      </c>
      <c r="U221" s="67">
        <f t="shared" si="8"/>
        <v>3.0468665815034672</v>
      </c>
      <c r="V221" s="66">
        <v>3.0606098548768141</v>
      </c>
    </row>
    <row r="222" spans="1:22">
      <c r="A222" s="33" t="s">
        <v>118</v>
      </c>
      <c r="B222" s="37" t="s">
        <v>65</v>
      </c>
      <c r="C222" s="37" t="s">
        <v>22</v>
      </c>
      <c r="D222" s="35">
        <v>44</v>
      </c>
      <c r="E222" s="35">
        <v>10000</v>
      </c>
      <c r="F222" s="35">
        <v>21</v>
      </c>
      <c r="G222" s="37">
        <v>3</v>
      </c>
      <c r="H222" s="33" t="s">
        <v>199</v>
      </c>
      <c r="I222" s="33">
        <v>5</v>
      </c>
      <c r="J222" s="33">
        <v>4</v>
      </c>
      <c r="K222" s="33" t="s">
        <v>275</v>
      </c>
      <c r="L222" s="33" t="s">
        <v>155</v>
      </c>
      <c r="M222" s="43" t="s">
        <v>257</v>
      </c>
      <c r="N222" s="35">
        <v>0</v>
      </c>
      <c r="O222" s="51">
        <v>1.4600000000000364</v>
      </c>
      <c r="P222" s="51">
        <v>1.4600000000000364</v>
      </c>
      <c r="Q222" s="64">
        <v>1</v>
      </c>
      <c r="R222" s="76">
        <v>3.1179277024678491</v>
      </c>
      <c r="S222" s="76">
        <v>3.1179277024678491</v>
      </c>
      <c r="T222" s="66">
        <v>3.0091020477815711</v>
      </c>
      <c r="U222" s="67">
        <f t="shared" si="8"/>
        <v>3.0635148751247101</v>
      </c>
      <c r="V222" s="66">
        <v>3.0735614629190651</v>
      </c>
    </row>
    <row r="223" spans="1:22">
      <c r="A223" s="33" t="s">
        <v>118</v>
      </c>
      <c r="B223" s="37" t="s">
        <v>65</v>
      </c>
      <c r="C223" s="37" t="s">
        <v>22</v>
      </c>
      <c r="D223" s="35">
        <v>44</v>
      </c>
      <c r="E223" s="35">
        <v>10000</v>
      </c>
      <c r="F223" s="35">
        <v>21</v>
      </c>
      <c r="G223" s="37">
        <v>3</v>
      </c>
      <c r="H223" s="33" t="s">
        <v>199</v>
      </c>
      <c r="I223" s="33">
        <v>6</v>
      </c>
      <c r="J223" s="33">
        <v>5</v>
      </c>
      <c r="K223" s="33" t="s">
        <v>275</v>
      </c>
      <c r="L223" s="33" t="s">
        <v>154</v>
      </c>
      <c r="M223" s="43" t="s">
        <v>257</v>
      </c>
      <c r="N223" s="35">
        <v>9.7000000000000003E-2</v>
      </c>
      <c r="O223" s="51">
        <v>9.0799999999999272</v>
      </c>
      <c r="P223" s="51">
        <v>9.0799999999999272</v>
      </c>
      <c r="Q223" s="64">
        <v>1</v>
      </c>
      <c r="R223" s="76">
        <v>3.1702326103216159</v>
      </c>
      <c r="S223" s="76">
        <v>3.1702326103216159</v>
      </c>
      <c r="T223" s="66">
        <v>3.0721748993779729</v>
      </c>
      <c r="U223" s="67">
        <f t="shared" si="8"/>
        <v>3.1212037548497946</v>
      </c>
      <c r="V223" s="66">
        <v>3.139677302393038</v>
      </c>
    </row>
    <row r="224" spans="1:22">
      <c r="A224" s="33" t="s">
        <v>94</v>
      </c>
      <c r="B224" s="37" t="s">
        <v>82</v>
      </c>
      <c r="C224" s="37" t="s">
        <v>21</v>
      </c>
      <c r="D224" s="35">
        <v>42</v>
      </c>
      <c r="E224" s="35">
        <v>6000</v>
      </c>
      <c r="F224" s="35">
        <v>23</v>
      </c>
      <c r="G224" s="37">
        <v>1</v>
      </c>
      <c r="H224" s="33" t="s">
        <v>197</v>
      </c>
      <c r="I224" s="33">
        <v>1</v>
      </c>
      <c r="J224" s="33">
        <v>1</v>
      </c>
      <c r="K224" s="33" t="s">
        <v>275</v>
      </c>
      <c r="L224" s="33" t="s">
        <v>154</v>
      </c>
      <c r="M224" s="43" t="s">
        <v>306</v>
      </c>
      <c r="N224" s="35">
        <v>0</v>
      </c>
      <c r="O224" s="51">
        <v>2.2729999999999961</v>
      </c>
      <c r="P224" s="51">
        <v>2.2729999999999961</v>
      </c>
      <c r="Q224" s="64">
        <v>1</v>
      </c>
      <c r="R224" s="76">
        <v>3.817811301369864</v>
      </c>
      <c r="S224" s="76">
        <v>3.817811301369864</v>
      </c>
      <c r="T224" s="66">
        <v>3.659973945834762</v>
      </c>
      <c r="U224" s="67">
        <f t="shared" si="8"/>
        <v>3.7388926236023128</v>
      </c>
      <c r="V224" s="66">
        <v>3.7384035558537412</v>
      </c>
    </row>
    <row r="225" spans="1:22">
      <c r="A225" s="33" t="s">
        <v>94</v>
      </c>
      <c r="B225" s="37" t="s">
        <v>82</v>
      </c>
      <c r="C225" s="37" t="s">
        <v>21</v>
      </c>
      <c r="D225" s="35">
        <v>42</v>
      </c>
      <c r="E225" s="35">
        <v>6000</v>
      </c>
      <c r="F225" s="35">
        <v>23</v>
      </c>
      <c r="G225" s="37">
        <v>1</v>
      </c>
      <c r="H225" s="33" t="s">
        <v>197</v>
      </c>
      <c r="I225" s="33">
        <v>2</v>
      </c>
      <c r="J225" s="33">
        <v>2</v>
      </c>
      <c r="K225" s="33" t="s">
        <v>276</v>
      </c>
      <c r="L225" s="33" t="s">
        <v>155</v>
      </c>
      <c r="M225" s="43" t="s">
        <v>306</v>
      </c>
      <c r="N225" s="35">
        <v>0</v>
      </c>
      <c r="O225" s="51">
        <v>0.64599999999995816</v>
      </c>
      <c r="P225" s="51">
        <v>0.64599999999995816</v>
      </c>
      <c r="Q225" s="64">
        <v>1</v>
      </c>
      <c r="R225" s="76">
        <v>3.6079948962232051</v>
      </c>
      <c r="S225" s="76">
        <v>3.6079948962232051</v>
      </c>
      <c r="T225" s="66">
        <v>3.5555721579305648</v>
      </c>
      <c r="U225" s="67">
        <f t="shared" si="8"/>
        <v>3.581783527076885</v>
      </c>
      <c r="V225" s="66">
        <v>3.5843535893155258</v>
      </c>
    </row>
    <row r="226" spans="1:22">
      <c r="A226" s="33" t="s">
        <v>94</v>
      </c>
      <c r="B226" s="37" t="s">
        <v>82</v>
      </c>
      <c r="C226" s="37" t="s">
        <v>21</v>
      </c>
      <c r="D226" s="35">
        <v>42</v>
      </c>
      <c r="E226" s="35">
        <v>6000</v>
      </c>
      <c r="F226" s="35">
        <v>23</v>
      </c>
      <c r="G226" s="37">
        <v>1</v>
      </c>
      <c r="H226" s="33" t="s">
        <v>197</v>
      </c>
      <c r="I226" s="33">
        <v>3</v>
      </c>
      <c r="J226" s="33">
        <v>3</v>
      </c>
      <c r="K226" s="33" t="s">
        <v>275</v>
      </c>
      <c r="L226" s="33" t="s">
        <v>158</v>
      </c>
      <c r="M226" s="43" t="s">
        <v>306</v>
      </c>
      <c r="N226" s="35">
        <v>0</v>
      </c>
      <c r="O226" s="51">
        <v>2.6020000000000891</v>
      </c>
      <c r="P226" s="51">
        <v>2.6020000000000891</v>
      </c>
      <c r="Q226" s="64">
        <v>1</v>
      </c>
      <c r="R226" s="76">
        <v>3.5453977433004229</v>
      </c>
      <c r="S226" s="76">
        <v>3.5453977433004229</v>
      </c>
      <c r="T226" s="66">
        <v>3.4496500696378831</v>
      </c>
      <c r="U226" s="67">
        <f t="shared" si="8"/>
        <v>3.4975239064691532</v>
      </c>
      <c r="V226" s="66">
        <v>3.5004522920203738</v>
      </c>
    </row>
    <row r="227" spans="1:22">
      <c r="A227" s="33" t="s">
        <v>94</v>
      </c>
      <c r="B227" s="37" t="s">
        <v>82</v>
      </c>
      <c r="C227" s="37" t="s">
        <v>21</v>
      </c>
      <c r="D227" s="35">
        <v>42</v>
      </c>
      <c r="E227" s="35">
        <v>6000</v>
      </c>
      <c r="F227" s="35">
        <v>23</v>
      </c>
      <c r="G227" s="37">
        <v>1</v>
      </c>
      <c r="H227" s="33" t="s">
        <v>197</v>
      </c>
      <c r="I227" s="33">
        <v>4</v>
      </c>
      <c r="J227" s="33">
        <v>4</v>
      </c>
      <c r="K227" s="33" t="s">
        <v>276</v>
      </c>
      <c r="L227" s="33" t="s">
        <v>157</v>
      </c>
      <c r="M227" s="43" t="s">
        <v>306</v>
      </c>
      <c r="N227" s="35">
        <v>0</v>
      </c>
      <c r="O227" s="51">
        <v>2.4410000000000309</v>
      </c>
      <c r="P227" s="51">
        <v>2.4410000000000309</v>
      </c>
      <c r="Q227" s="64">
        <v>1</v>
      </c>
      <c r="R227" s="76">
        <v>3.2785166077738519</v>
      </c>
      <c r="S227" s="76">
        <v>3.2785166077738519</v>
      </c>
      <c r="T227" s="66">
        <v>3.1779824868651492</v>
      </c>
      <c r="U227" s="67">
        <f t="shared" si="8"/>
        <v>3.2282495473195008</v>
      </c>
      <c r="V227" s="66">
        <v>3.2345830805527469</v>
      </c>
    </row>
    <row r="228" spans="1:22">
      <c r="A228" s="33" t="s">
        <v>94</v>
      </c>
      <c r="B228" s="37" t="s">
        <v>82</v>
      </c>
      <c r="C228" s="37" t="s">
        <v>21</v>
      </c>
      <c r="D228" s="35">
        <v>42</v>
      </c>
      <c r="E228" s="35">
        <v>6000</v>
      </c>
      <c r="F228" s="35">
        <v>23</v>
      </c>
      <c r="G228" s="37">
        <v>1</v>
      </c>
      <c r="H228" s="33" t="s">
        <v>197</v>
      </c>
      <c r="I228" s="33">
        <v>5</v>
      </c>
      <c r="J228" s="33"/>
      <c r="K228" s="33" t="s">
        <v>276</v>
      </c>
      <c r="L228" s="33" t="s">
        <v>156</v>
      </c>
      <c r="M228" s="43" t="s">
        <v>306</v>
      </c>
      <c r="N228" s="35"/>
      <c r="O228" s="51"/>
      <c r="P228" s="51"/>
      <c r="Q228" s="64"/>
      <c r="R228" s="76">
        <v>4.4039999999999999</v>
      </c>
      <c r="S228" s="76">
        <v>4.4039999999999999</v>
      </c>
      <c r="T228" s="66">
        <v>4.218</v>
      </c>
      <c r="U228" s="67">
        <f t="shared" si="8"/>
        <v>4.3109999999999999</v>
      </c>
      <c r="V228" s="66">
        <v>4.3109999999999999</v>
      </c>
    </row>
    <row r="229" spans="1:22">
      <c r="A229" s="33" t="s">
        <v>94</v>
      </c>
      <c r="B229" s="37" t="s">
        <v>82</v>
      </c>
      <c r="C229" s="37" t="s">
        <v>21</v>
      </c>
      <c r="D229" s="35">
        <v>42</v>
      </c>
      <c r="E229" s="35">
        <v>6000</v>
      </c>
      <c r="F229" s="35">
        <v>23</v>
      </c>
      <c r="G229" s="37">
        <v>1</v>
      </c>
      <c r="H229" s="33" t="s">
        <v>197</v>
      </c>
      <c r="I229" s="33">
        <v>6</v>
      </c>
      <c r="J229" s="33">
        <v>5</v>
      </c>
      <c r="K229" s="33" t="s">
        <v>275</v>
      </c>
      <c r="L229" s="33" t="s">
        <v>153</v>
      </c>
      <c r="M229" s="43" t="s">
        <v>306</v>
      </c>
      <c r="N229" s="35">
        <v>1.1000000000000001E-3</v>
      </c>
      <c r="O229" s="51">
        <v>1.8329999999998563</v>
      </c>
      <c r="P229" s="51">
        <v>1.8329999999998563</v>
      </c>
      <c r="Q229" s="64">
        <v>1</v>
      </c>
      <c r="R229" s="76">
        <v>3.1971936056838359</v>
      </c>
      <c r="S229" s="76">
        <v>3.1971936056838359</v>
      </c>
      <c r="T229" s="66">
        <v>3.116543577178859</v>
      </c>
      <c r="U229" s="67">
        <f t="shared" si="8"/>
        <v>3.1568685914313477</v>
      </c>
      <c r="V229" s="66">
        <v>3.164929824561403</v>
      </c>
    </row>
    <row r="230" spans="1:22">
      <c r="A230" s="33" t="s">
        <v>94</v>
      </c>
      <c r="B230" s="37" t="s">
        <v>82</v>
      </c>
      <c r="C230" s="37" t="s">
        <v>22</v>
      </c>
      <c r="D230" s="35">
        <v>42</v>
      </c>
      <c r="E230" s="35">
        <v>6000</v>
      </c>
      <c r="F230" s="35">
        <v>23</v>
      </c>
      <c r="G230" s="37">
        <v>2</v>
      </c>
      <c r="H230" s="33" t="s">
        <v>199</v>
      </c>
      <c r="I230" s="33">
        <v>1</v>
      </c>
      <c r="J230" s="33"/>
      <c r="K230" s="33" t="s">
        <v>276</v>
      </c>
      <c r="L230" s="33" t="s">
        <v>156</v>
      </c>
      <c r="M230" s="43" t="s">
        <v>307</v>
      </c>
      <c r="N230" s="35"/>
      <c r="O230" s="51"/>
      <c r="P230" s="51"/>
      <c r="Q230" s="64"/>
      <c r="R230" s="76">
        <v>4.0839999999999996</v>
      </c>
      <c r="S230" s="76">
        <v>4.0839999999999996</v>
      </c>
      <c r="T230" s="66">
        <v>3.7229999999999999</v>
      </c>
      <c r="U230" s="67">
        <f t="shared" si="8"/>
        <v>3.9034999999999997</v>
      </c>
      <c r="V230" s="66">
        <v>3.903</v>
      </c>
    </row>
    <row r="231" spans="1:22">
      <c r="A231" s="33" t="s">
        <v>94</v>
      </c>
      <c r="B231" s="37" t="s">
        <v>82</v>
      </c>
      <c r="C231" s="37" t="s">
        <v>22</v>
      </c>
      <c r="D231" s="35">
        <v>42</v>
      </c>
      <c r="E231" s="35">
        <v>6000</v>
      </c>
      <c r="F231" s="35">
        <v>23</v>
      </c>
      <c r="G231" s="37">
        <v>2</v>
      </c>
      <c r="H231" s="33" t="s">
        <v>199</v>
      </c>
      <c r="I231" s="33">
        <v>2</v>
      </c>
      <c r="J231" s="33">
        <v>1</v>
      </c>
      <c r="K231" s="33" t="s">
        <v>275</v>
      </c>
      <c r="L231" s="33" t="s">
        <v>157</v>
      </c>
      <c r="M231" s="43" t="s">
        <v>307</v>
      </c>
      <c r="N231" s="35">
        <v>0</v>
      </c>
      <c r="O231" s="51">
        <v>7.7200000000000273</v>
      </c>
      <c r="P231" s="51">
        <v>7.7200000000000273</v>
      </c>
      <c r="Q231" s="64">
        <v>1</v>
      </c>
      <c r="R231" s="76">
        <v>3.6120411639460608</v>
      </c>
      <c r="S231" s="76">
        <v>3.6120411639460608</v>
      </c>
      <c r="T231" s="66">
        <v>3.341634601832276</v>
      </c>
      <c r="U231" s="67">
        <f t="shared" si="8"/>
        <v>3.4768378828891686</v>
      </c>
      <c r="V231" s="66">
        <v>3.4852880027266528</v>
      </c>
    </row>
    <row r="232" spans="1:22">
      <c r="A232" s="33" t="s">
        <v>94</v>
      </c>
      <c r="B232" s="37" t="s">
        <v>82</v>
      </c>
      <c r="C232" s="37" t="s">
        <v>22</v>
      </c>
      <c r="D232" s="35">
        <v>42</v>
      </c>
      <c r="E232" s="35">
        <v>6000</v>
      </c>
      <c r="F232" s="35">
        <v>23</v>
      </c>
      <c r="G232" s="37">
        <v>2</v>
      </c>
      <c r="H232" s="33" t="s">
        <v>199</v>
      </c>
      <c r="I232" s="33">
        <v>3</v>
      </c>
      <c r="J232" s="33">
        <v>2</v>
      </c>
      <c r="K232" s="33" t="s">
        <v>276</v>
      </c>
      <c r="L232" s="33" t="s">
        <v>153</v>
      </c>
      <c r="M232" s="43" t="s">
        <v>236</v>
      </c>
      <c r="N232" s="35">
        <v>0</v>
      </c>
      <c r="O232" s="51">
        <v>2.7400000000000091</v>
      </c>
      <c r="P232" s="51">
        <v>2.7400000000000091</v>
      </c>
      <c r="Q232" s="64">
        <v>1</v>
      </c>
      <c r="R232" s="76">
        <v>3.3786301465457078</v>
      </c>
      <c r="S232" s="76">
        <v>3.3786301465457078</v>
      </c>
      <c r="T232" s="66">
        <v>3.1293366678164891</v>
      </c>
      <c r="U232" s="67">
        <f t="shared" si="8"/>
        <v>3.2539834071810985</v>
      </c>
      <c r="V232" s="66">
        <v>3.2758047795355099</v>
      </c>
    </row>
    <row r="233" spans="1:22">
      <c r="A233" s="33" t="s">
        <v>94</v>
      </c>
      <c r="B233" s="37" t="s">
        <v>82</v>
      </c>
      <c r="C233" s="37" t="s">
        <v>22</v>
      </c>
      <c r="D233" s="35">
        <v>42</v>
      </c>
      <c r="E233" s="35">
        <v>6000</v>
      </c>
      <c r="F233" s="35">
        <v>23</v>
      </c>
      <c r="G233" s="37">
        <v>2</v>
      </c>
      <c r="H233" s="33" t="s">
        <v>199</v>
      </c>
      <c r="I233" s="33">
        <v>4</v>
      </c>
      <c r="J233" s="33">
        <v>3</v>
      </c>
      <c r="K233" s="33" t="s">
        <v>276</v>
      </c>
      <c r="L233" s="33" t="s">
        <v>158</v>
      </c>
      <c r="M233" s="43" t="s">
        <v>236</v>
      </c>
      <c r="N233" s="35">
        <v>0</v>
      </c>
      <c r="O233" s="51">
        <v>1.3999999999999773</v>
      </c>
      <c r="P233" s="51">
        <v>1.3999999999999773</v>
      </c>
      <c r="Q233" s="64">
        <v>1</v>
      </c>
      <c r="R233" s="76">
        <v>3.25698335694051</v>
      </c>
      <c r="S233" s="76">
        <v>3.25698335694051</v>
      </c>
      <c r="T233" s="66">
        <v>3.0617433751743381</v>
      </c>
      <c r="U233" s="67">
        <f t="shared" si="8"/>
        <v>3.1593633660574243</v>
      </c>
      <c r="V233" s="66">
        <v>3.1851426648721399</v>
      </c>
    </row>
    <row r="234" spans="1:22">
      <c r="A234" s="33" t="s">
        <v>94</v>
      </c>
      <c r="B234" s="37" t="s">
        <v>82</v>
      </c>
      <c r="C234" s="37" t="s">
        <v>22</v>
      </c>
      <c r="D234" s="35">
        <v>42</v>
      </c>
      <c r="E234" s="35">
        <v>6000</v>
      </c>
      <c r="F234" s="35">
        <v>23</v>
      </c>
      <c r="G234" s="37">
        <v>2</v>
      </c>
      <c r="H234" s="33" t="s">
        <v>199</v>
      </c>
      <c r="I234" s="33">
        <v>5</v>
      </c>
      <c r="J234" s="33">
        <v>4</v>
      </c>
      <c r="K234" s="33" t="s">
        <v>275</v>
      </c>
      <c r="L234" s="33" t="s">
        <v>155</v>
      </c>
      <c r="M234" s="43" t="s">
        <v>236</v>
      </c>
      <c r="N234" s="35">
        <v>8.5400000000000004E-2</v>
      </c>
      <c r="O234" s="51">
        <v>-0.12000000000000455</v>
      </c>
      <c r="P234" s="51">
        <v>-0.12000000000000455</v>
      </c>
      <c r="Q234" s="64">
        <v>1</v>
      </c>
      <c r="R234" s="76">
        <v>3.1153763288447909</v>
      </c>
      <c r="S234" s="76">
        <v>3.1153763288447909</v>
      </c>
      <c r="T234" s="66">
        <v>2.9746275546159269</v>
      </c>
      <c r="U234" s="67">
        <f t="shared" si="8"/>
        <v>3.0450019417303587</v>
      </c>
      <c r="V234" s="66">
        <v>3.0683167451244109</v>
      </c>
    </row>
    <row r="235" spans="1:22">
      <c r="A235" s="33" t="s">
        <v>94</v>
      </c>
      <c r="B235" s="37" t="s">
        <v>82</v>
      </c>
      <c r="C235" s="37" t="s">
        <v>22</v>
      </c>
      <c r="D235" s="35">
        <v>42</v>
      </c>
      <c r="E235" s="35">
        <v>6000</v>
      </c>
      <c r="F235" s="35">
        <v>23</v>
      </c>
      <c r="G235" s="37">
        <v>2</v>
      </c>
      <c r="H235" s="33" t="s">
        <v>199</v>
      </c>
      <c r="I235" s="33">
        <v>6</v>
      </c>
      <c r="J235" s="33">
        <v>5</v>
      </c>
      <c r="K235" s="33" t="s">
        <v>275</v>
      </c>
      <c r="L235" s="33" t="s">
        <v>154</v>
      </c>
      <c r="M235" s="43" t="s">
        <v>236</v>
      </c>
      <c r="N235" s="35"/>
      <c r="O235" s="51" t="s">
        <v>394</v>
      </c>
      <c r="P235" s="51" t="s">
        <v>394</v>
      </c>
      <c r="Q235" s="64" t="s">
        <v>274</v>
      </c>
    </row>
    <row r="236" spans="1:22">
      <c r="A236" s="33" t="s">
        <v>94</v>
      </c>
      <c r="B236" s="37" t="s">
        <v>82</v>
      </c>
      <c r="C236" s="37" t="s">
        <v>14</v>
      </c>
      <c r="D236" s="35">
        <v>42</v>
      </c>
      <c r="E236" s="35">
        <v>6000</v>
      </c>
      <c r="F236" s="35">
        <v>23</v>
      </c>
      <c r="G236" s="37">
        <v>3</v>
      </c>
      <c r="H236" s="33" t="s">
        <v>194</v>
      </c>
      <c r="I236" s="33">
        <v>1</v>
      </c>
      <c r="J236" s="33">
        <v>1</v>
      </c>
      <c r="K236" s="33" t="s">
        <v>275</v>
      </c>
      <c r="L236" s="33" t="s">
        <v>153</v>
      </c>
      <c r="M236" s="43" t="s">
        <v>308</v>
      </c>
      <c r="N236" s="35">
        <v>0</v>
      </c>
      <c r="O236" s="51">
        <v>4.0250000000000057</v>
      </c>
      <c r="P236" s="51">
        <v>4.0250000000000057</v>
      </c>
      <c r="Q236" s="64">
        <v>1</v>
      </c>
      <c r="R236" s="76">
        <v>3.6405664143152099</v>
      </c>
      <c r="S236" s="76">
        <v>3.6405664143152099</v>
      </c>
      <c r="T236" s="66">
        <v>3.495700274348422</v>
      </c>
      <c r="U236" s="67">
        <f t="shared" ref="U236:U245" si="9">AVERAGE(S236:T236)</f>
        <v>3.5681333443318159</v>
      </c>
      <c r="V236" s="66">
        <v>3.5599366032699371</v>
      </c>
    </row>
    <row r="237" spans="1:22">
      <c r="A237" s="33" t="s">
        <v>94</v>
      </c>
      <c r="B237" s="37" t="s">
        <v>82</v>
      </c>
      <c r="C237" s="37" t="s">
        <v>14</v>
      </c>
      <c r="D237" s="35">
        <v>42</v>
      </c>
      <c r="E237" s="35">
        <v>6000</v>
      </c>
      <c r="F237" s="35">
        <v>23</v>
      </c>
      <c r="G237" s="37">
        <v>3</v>
      </c>
      <c r="H237" s="33" t="s">
        <v>194</v>
      </c>
      <c r="I237" s="33">
        <v>2</v>
      </c>
      <c r="J237" s="33">
        <v>2</v>
      </c>
      <c r="K237" s="33" t="s">
        <v>276</v>
      </c>
      <c r="L237" s="33" t="s">
        <v>154</v>
      </c>
      <c r="M237" s="43" t="s">
        <v>308</v>
      </c>
      <c r="N237" s="35">
        <v>0</v>
      </c>
      <c r="O237" s="51">
        <v>12.798999999999978</v>
      </c>
      <c r="P237" s="51">
        <v>12.798999999999978</v>
      </c>
      <c r="Q237" s="64">
        <v>1</v>
      </c>
      <c r="R237" s="76">
        <v>3.4455619453319128</v>
      </c>
      <c r="S237" s="76">
        <v>3.4455619453319128</v>
      </c>
      <c r="T237" s="66">
        <v>3.3032261904761899</v>
      </c>
      <c r="U237" s="67">
        <f t="shared" si="9"/>
        <v>3.3743940679040514</v>
      </c>
      <c r="V237" s="66">
        <v>3.368197197197198</v>
      </c>
    </row>
    <row r="238" spans="1:22">
      <c r="A238" s="33" t="s">
        <v>94</v>
      </c>
      <c r="B238" s="37" t="s">
        <v>82</v>
      </c>
      <c r="C238" s="37" t="s">
        <v>14</v>
      </c>
      <c r="D238" s="35">
        <v>42</v>
      </c>
      <c r="E238" s="35">
        <v>6000</v>
      </c>
      <c r="F238" s="35">
        <v>23</v>
      </c>
      <c r="G238" s="37">
        <v>3</v>
      </c>
      <c r="H238" s="33" t="s">
        <v>194</v>
      </c>
      <c r="I238" s="33">
        <v>3</v>
      </c>
      <c r="J238" s="33">
        <v>3</v>
      </c>
      <c r="K238" s="33" t="s">
        <v>276</v>
      </c>
      <c r="L238" s="33" t="s">
        <v>155</v>
      </c>
      <c r="M238" s="43" t="s">
        <v>213</v>
      </c>
      <c r="N238" s="35">
        <v>1.9E-3</v>
      </c>
      <c r="O238" s="51">
        <v>1.8829999999999245</v>
      </c>
      <c r="P238" s="51">
        <v>1.8829999999999245</v>
      </c>
      <c r="Q238" s="64">
        <v>1</v>
      </c>
      <c r="R238" s="76">
        <v>3.334366750811395</v>
      </c>
      <c r="S238" s="76">
        <v>3.334366750811395</v>
      </c>
      <c r="T238" s="66">
        <v>3.1696291727140782</v>
      </c>
      <c r="U238" s="67">
        <f t="shared" si="9"/>
        <v>3.2519979617627364</v>
      </c>
      <c r="V238" s="66">
        <v>3.247984929671802</v>
      </c>
    </row>
    <row r="239" spans="1:22">
      <c r="A239" s="33" t="s">
        <v>94</v>
      </c>
      <c r="B239" s="37" t="s">
        <v>82</v>
      </c>
      <c r="C239" s="37" t="s">
        <v>14</v>
      </c>
      <c r="D239" s="35">
        <v>42</v>
      </c>
      <c r="E239" s="35">
        <v>6000</v>
      </c>
      <c r="F239" s="35">
        <v>23</v>
      </c>
      <c r="G239" s="37">
        <v>3</v>
      </c>
      <c r="H239" s="33" t="s">
        <v>194</v>
      </c>
      <c r="I239" s="33">
        <v>4</v>
      </c>
      <c r="J239" s="33"/>
      <c r="K239" s="33" t="s">
        <v>275</v>
      </c>
      <c r="L239" s="33" t="s">
        <v>156</v>
      </c>
      <c r="M239" s="43" t="s">
        <v>213</v>
      </c>
      <c r="N239" s="35"/>
      <c r="O239" s="51"/>
      <c r="P239" s="51"/>
      <c r="Q239" s="64"/>
      <c r="R239" s="76">
        <v>4.6079999999999997</v>
      </c>
      <c r="S239" s="76">
        <v>4.6079999999999997</v>
      </c>
      <c r="T239" s="66">
        <v>4.4969999999999999</v>
      </c>
      <c r="U239" s="67">
        <f t="shared" si="9"/>
        <v>4.5525000000000002</v>
      </c>
      <c r="V239" s="66">
        <v>4.5519999999999996</v>
      </c>
    </row>
    <row r="240" spans="1:22">
      <c r="A240" s="33" t="s">
        <v>94</v>
      </c>
      <c r="B240" s="37" t="s">
        <v>82</v>
      </c>
      <c r="C240" s="37" t="s">
        <v>14</v>
      </c>
      <c r="D240" s="35">
        <v>42</v>
      </c>
      <c r="E240" s="35">
        <v>6000</v>
      </c>
      <c r="F240" s="35">
        <v>23</v>
      </c>
      <c r="G240" s="37">
        <v>3</v>
      </c>
      <c r="H240" s="33" t="s">
        <v>194</v>
      </c>
      <c r="I240" s="33">
        <v>5</v>
      </c>
      <c r="J240" s="33">
        <v>4</v>
      </c>
      <c r="K240" s="33" t="s">
        <v>276</v>
      </c>
      <c r="L240" s="33" t="s">
        <v>157</v>
      </c>
      <c r="M240" s="43" t="s">
        <v>213</v>
      </c>
      <c r="N240" s="35">
        <v>0.31859999999999999</v>
      </c>
      <c r="O240" s="51">
        <v>1.2300000000000182</v>
      </c>
      <c r="P240" s="51">
        <v>1.2300000000000182</v>
      </c>
      <c r="Q240" s="64">
        <v>1</v>
      </c>
      <c r="R240" s="76">
        <v>2.9859237839908079</v>
      </c>
      <c r="S240" s="76">
        <v>2.9859237839908079</v>
      </c>
      <c r="T240" s="66">
        <v>2.7755864978902949</v>
      </c>
      <c r="U240" s="67">
        <f t="shared" si="9"/>
        <v>2.8807551409405514</v>
      </c>
      <c r="V240" s="66">
        <v>2.8856571139581928</v>
      </c>
    </row>
    <row r="241" spans="1:22">
      <c r="A241" s="33" t="s">
        <v>94</v>
      </c>
      <c r="B241" s="37" t="s">
        <v>82</v>
      </c>
      <c r="C241" s="37" t="s">
        <v>14</v>
      </c>
      <c r="D241" s="35">
        <v>42</v>
      </c>
      <c r="E241" s="35">
        <v>6000</v>
      </c>
      <c r="F241" s="35">
        <v>23</v>
      </c>
      <c r="G241" s="37">
        <v>3</v>
      </c>
      <c r="H241" s="33" t="s">
        <v>194</v>
      </c>
      <c r="I241" s="33">
        <v>6</v>
      </c>
      <c r="J241" s="33">
        <v>5</v>
      </c>
      <c r="K241" s="33" t="s">
        <v>275</v>
      </c>
      <c r="L241" s="33" t="s">
        <v>158</v>
      </c>
      <c r="M241" s="43" t="s">
        <v>213</v>
      </c>
      <c r="N241" s="35">
        <v>4.0000000000000002E-4</v>
      </c>
      <c r="O241" s="51">
        <v>2.9669999999998709</v>
      </c>
      <c r="P241" s="51">
        <v>2.9669999999998709</v>
      </c>
      <c r="Q241" s="64">
        <v>1</v>
      </c>
      <c r="R241" s="76">
        <v>3.2908325323475052</v>
      </c>
      <c r="S241" s="76">
        <v>3.2908325323475052</v>
      </c>
      <c r="T241" s="66">
        <v>3.067299683432994</v>
      </c>
      <c r="U241" s="67">
        <f t="shared" si="9"/>
        <v>3.1790661078902493</v>
      </c>
      <c r="V241" s="66">
        <v>3.1760567114093958</v>
      </c>
    </row>
    <row r="242" spans="1:22">
      <c r="A242" s="32" t="s">
        <v>110</v>
      </c>
      <c r="B242" s="35" t="s">
        <v>65</v>
      </c>
      <c r="C242" s="35" t="s">
        <v>14</v>
      </c>
      <c r="D242" s="35">
        <v>48</v>
      </c>
      <c r="E242" s="35">
        <v>6000</v>
      </c>
      <c r="F242" s="35">
        <v>10</v>
      </c>
      <c r="G242" s="35">
        <v>1</v>
      </c>
      <c r="H242" s="32" t="s">
        <v>197</v>
      </c>
      <c r="I242" s="32">
        <v>1</v>
      </c>
      <c r="J242" s="32">
        <v>1</v>
      </c>
      <c r="K242" s="32" t="s">
        <v>275</v>
      </c>
      <c r="L242" s="32" t="s">
        <v>154</v>
      </c>
      <c r="M242" s="42" t="s">
        <v>345</v>
      </c>
      <c r="N242" s="35">
        <v>0</v>
      </c>
      <c r="O242" s="51">
        <v>8.3940000000000055</v>
      </c>
      <c r="P242" s="51">
        <v>8.3940000000000055</v>
      </c>
      <c r="Q242" s="64">
        <v>1</v>
      </c>
      <c r="R242" s="76">
        <v>2.822864389233954</v>
      </c>
      <c r="S242" s="76">
        <v>2.822864389233954</v>
      </c>
      <c r="T242" s="66">
        <v>2.9658739837398378</v>
      </c>
      <c r="U242" s="67">
        <f t="shared" si="9"/>
        <v>2.8943691864868959</v>
      </c>
      <c r="V242" s="66">
        <v>2.889910123966942</v>
      </c>
    </row>
    <row r="243" spans="1:22">
      <c r="A243" s="32" t="s">
        <v>110</v>
      </c>
      <c r="B243" s="35" t="s">
        <v>65</v>
      </c>
      <c r="C243" s="35" t="s">
        <v>14</v>
      </c>
      <c r="D243" s="35">
        <v>48</v>
      </c>
      <c r="E243" s="35">
        <v>6000</v>
      </c>
      <c r="F243" s="35">
        <v>10</v>
      </c>
      <c r="G243" s="35">
        <v>1</v>
      </c>
      <c r="H243" s="32" t="s">
        <v>197</v>
      </c>
      <c r="I243" s="32">
        <v>2</v>
      </c>
      <c r="J243" s="32">
        <v>2</v>
      </c>
      <c r="K243" s="32" t="s">
        <v>276</v>
      </c>
      <c r="L243" s="32" t="s">
        <v>155</v>
      </c>
      <c r="M243" s="42" t="s">
        <v>345</v>
      </c>
      <c r="N243" s="35">
        <v>7.6E-3</v>
      </c>
      <c r="O243" s="51">
        <v>3.0400000000000773</v>
      </c>
      <c r="P243" s="51">
        <v>3.0400000000000773</v>
      </c>
      <c r="Q243" s="64">
        <v>1</v>
      </c>
      <c r="R243" s="76">
        <v>2.728243567753001</v>
      </c>
      <c r="S243" s="76">
        <v>2.728243567753001</v>
      </c>
      <c r="T243" s="66">
        <v>2.804408605974396</v>
      </c>
      <c r="U243" s="67">
        <f t="shared" si="9"/>
        <v>2.7663260868636987</v>
      </c>
      <c r="V243" s="66">
        <v>2.7629283541737069</v>
      </c>
    </row>
    <row r="244" spans="1:22">
      <c r="A244" s="32" t="s">
        <v>110</v>
      </c>
      <c r="B244" s="35" t="s">
        <v>65</v>
      </c>
      <c r="C244" s="35" t="s">
        <v>14</v>
      </c>
      <c r="D244" s="35">
        <v>48</v>
      </c>
      <c r="E244" s="35">
        <v>6000</v>
      </c>
      <c r="F244" s="35">
        <v>10</v>
      </c>
      <c r="G244" s="35">
        <v>1</v>
      </c>
      <c r="H244" s="32" t="s">
        <v>197</v>
      </c>
      <c r="I244" s="32">
        <v>3</v>
      </c>
      <c r="J244" s="32">
        <v>3</v>
      </c>
      <c r="K244" s="32" t="s">
        <v>275</v>
      </c>
      <c r="L244" s="32" t="s">
        <v>158</v>
      </c>
      <c r="M244" s="42" t="s">
        <v>345</v>
      </c>
      <c r="N244" s="35">
        <v>0</v>
      </c>
      <c r="O244" s="51">
        <v>2.2799999999999727</v>
      </c>
      <c r="P244" s="51">
        <v>2.2799999999999727</v>
      </c>
      <c r="Q244" s="64">
        <v>1</v>
      </c>
      <c r="R244" s="76">
        <v>2.775517655125129</v>
      </c>
      <c r="S244" s="76">
        <v>2.775517655125129</v>
      </c>
      <c r="T244" s="66">
        <v>2.8549675182481749</v>
      </c>
      <c r="U244" s="67">
        <f t="shared" si="9"/>
        <v>2.8152425866866517</v>
      </c>
      <c r="V244" s="66">
        <v>2.815514915254238</v>
      </c>
    </row>
    <row r="245" spans="1:22">
      <c r="A245" s="32" t="s">
        <v>110</v>
      </c>
      <c r="B245" s="35" t="s">
        <v>65</v>
      </c>
      <c r="C245" s="35" t="s">
        <v>14</v>
      </c>
      <c r="D245" s="35">
        <v>48</v>
      </c>
      <c r="E245" s="35">
        <v>6000</v>
      </c>
      <c r="F245" s="35">
        <v>10</v>
      </c>
      <c r="G245" s="35">
        <v>1</v>
      </c>
      <c r="H245" s="32" t="s">
        <v>197</v>
      </c>
      <c r="I245" s="32">
        <v>4</v>
      </c>
      <c r="J245" s="32">
        <v>4</v>
      </c>
      <c r="K245" s="32" t="s">
        <v>276</v>
      </c>
      <c r="L245" s="32" t="s">
        <v>157</v>
      </c>
      <c r="M245" s="42" t="s">
        <v>345</v>
      </c>
      <c r="N245" s="35">
        <v>0</v>
      </c>
      <c r="O245" s="51">
        <v>6.3300000000000409</v>
      </c>
      <c r="P245" s="51">
        <v>6.3300000000000409</v>
      </c>
      <c r="Q245" s="64">
        <v>1</v>
      </c>
      <c r="R245" s="76">
        <v>2.70571452991453</v>
      </c>
      <c r="S245" s="76">
        <v>2.70571452991453</v>
      </c>
      <c r="T245" s="66">
        <v>2.78442671009772</v>
      </c>
      <c r="U245" s="67">
        <f t="shared" si="9"/>
        <v>2.7450706200061248</v>
      </c>
      <c r="V245" s="66">
        <v>2.7456114285714279</v>
      </c>
    </row>
    <row r="246" spans="1:22">
      <c r="A246" s="32" t="s">
        <v>110</v>
      </c>
      <c r="B246" s="35" t="s">
        <v>65</v>
      </c>
      <c r="C246" s="35" t="s">
        <v>14</v>
      </c>
      <c r="D246" s="35">
        <v>48</v>
      </c>
      <c r="E246" s="35">
        <v>6000</v>
      </c>
      <c r="F246" s="35">
        <v>10</v>
      </c>
      <c r="G246" s="35">
        <v>1</v>
      </c>
      <c r="H246" s="32" t="s">
        <v>197</v>
      </c>
      <c r="I246" s="32">
        <v>5</v>
      </c>
      <c r="K246" s="32" t="s">
        <v>276</v>
      </c>
      <c r="L246" s="32" t="s">
        <v>156</v>
      </c>
      <c r="M246" s="42" t="s">
        <v>345</v>
      </c>
      <c r="N246" s="35"/>
      <c r="O246" s="51"/>
      <c r="P246" s="51"/>
      <c r="Q246" s="64"/>
    </row>
    <row r="247" spans="1:22">
      <c r="A247" s="32" t="s">
        <v>110</v>
      </c>
      <c r="B247" s="35" t="s">
        <v>65</v>
      </c>
      <c r="C247" s="35" t="s">
        <v>14</v>
      </c>
      <c r="D247" s="35">
        <v>48</v>
      </c>
      <c r="E247" s="35">
        <v>6000</v>
      </c>
      <c r="F247" s="35">
        <v>10</v>
      </c>
      <c r="G247" s="35">
        <v>1</v>
      </c>
      <c r="H247" s="32" t="s">
        <v>197</v>
      </c>
      <c r="I247" s="32">
        <v>6</v>
      </c>
      <c r="J247" s="32">
        <v>5</v>
      </c>
      <c r="K247" s="32" t="s">
        <v>275</v>
      </c>
      <c r="L247" s="32" t="s">
        <v>153</v>
      </c>
      <c r="M247" s="42" t="s">
        <v>345</v>
      </c>
      <c r="N247" s="35">
        <v>0</v>
      </c>
      <c r="O247" s="51" t="s">
        <v>395</v>
      </c>
      <c r="P247" s="51"/>
      <c r="Q247" s="64">
        <v>0</v>
      </c>
      <c r="R247" s="76">
        <v>2.925791055456171</v>
      </c>
      <c r="S247" s="76">
        <v>2.925791055456171</v>
      </c>
      <c r="T247" s="66">
        <v>2.9622691206543972</v>
      </c>
      <c r="U247" s="67">
        <f>AVERAGE(S247:T247)</f>
        <v>2.9440300880552841</v>
      </c>
      <c r="V247" s="66">
        <v>2.939960110041266</v>
      </c>
    </row>
    <row r="248" spans="1:22">
      <c r="A248" s="32" t="s">
        <v>110</v>
      </c>
      <c r="B248" s="35" t="s">
        <v>65</v>
      </c>
      <c r="C248" s="35" t="s">
        <v>21</v>
      </c>
      <c r="D248" s="35">
        <v>48</v>
      </c>
      <c r="E248" s="35">
        <v>6000</v>
      </c>
      <c r="F248" s="35">
        <v>10</v>
      </c>
      <c r="G248" s="35">
        <v>2</v>
      </c>
      <c r="H248" s="32" t="s">
        <v>199</v>
      </c>
      <c r="I248" s="32">
        <v>1</v>
      </c>
      <c r="K248" s="32" t="s">
        <v>276</v>
      </c>
      <c r="L248" s="32" t="s">
        <v>156</v>
      </c>
      <c r="M248" s="46" t="s">
        <v>346</v>
      </c>
      <c r="N248" s="35"/>
      <c r="O248" s="51"/>
      <c r="P248" s="51"/>
      <c r="Q248" s="64"/>
    </row>
    <row r="249" spans="1:22">
      <c r="A249" s="32" t="s">
        <v>110</v>
      </c>
      <c r="B249" s="35" t="s">
        <v>65</v>
      </c>
      <c r="C249" s="35" t="s">
        <v>21</v>
      </c>
      <c r="D249" s="35">
        <v>48</v>
      </c>
      <c r="E249" s="35">
        <v>6000</v>
      </c>
      <c r="F249" s="35">
        <v>10</v>
      </c>
      <c r="G249" s="35">
        <v>2</v>
      </c>
      <c r="H249" s="32" t="s">
        <v>199</v>
      </c>
      <c r="I249" s="32">
        <v>2</v>
      </c>
      <c r="J249" s="32">
        <v>1</v>
      </c>
      <c r="K249" s="32" t="s">
        <v>275</v>
      </c>
      <c r="L249" s="32" t="s">
        <v>157</v>
      </c>
      <c r="M249" s="46" t="s">
        <v>346</v>
      </c>
      <c r="N249" s="35">
        <v>0</v>
      </c>
      <c r="O249" s="51">
        <v>7.7200000000000273</v>
      </c>
      <c r="P249" s="51">
        <v>7.7200000000000273</v>
      </c>
      <c r="Q249" s="64">
        <v>1</v>
      </c>
      <c r="R249" s="76">
        <v>2.9258489383919248</v>
      </c>
      <c r="S249" s="76">
        <v>2.9258489383919248</v>
      </c>
      <c r="T249" s="66">
        <v>3.0410802711380671</v>
      </c>
      <c r="U249" s="67">
        <f t="shared" ref="U249:U256" si="10">AVERAGE(S249:T249)</f>
        <v>2.983464604764996</v>
      </c>
      <c r="V249" s="66">
        <v>2.982137033230559</v>
      </c>
    </row>
    <row r="250" spans="1:22">
      <c r="A250" s="32" t="s">
        <v>110</v>
      </c>
      <c r="B250" s="35" t="s">
        <v>65</v>
      </c>
      <c r="C250" s="35" t="s">
        <v>21</v>
      </c>
      <c r="D250" s="35">
        <v>48</v>
      </c>
      <c r="E250" s="35">
        <v>6000</v>
      </c>
      <c r="F250" s="35">
        <v>10</v>
      </c>
      <c r="G250" s="35">
        <v>2</v>
      </c>
      <c r="H250" s="32" t="s">
        <v>199</v>
      </c>
      <c r="I250" s="32">
        <v>3</v>
      </c>
      <c r="J250" s="32">
        <v>2</v>
      </c>
      <c r="K250" s="32" t="s">
        <v>276</v>
      </c>
      <c r="L250" s="32" t="s">
        <v>153</v>
      </c>
      <c r="M250" s="46" t="s">
        <v>263</v>
      </c>
      <c r="N250" s="35">
        <v>0</v>
      </c>
      <c r="O250" s="51" t="s">
        <v>395</v>
      </c>
      <c r="P250" s="51"/>
      <c r="Q250" s="64">
        <v>0</v>
      </c>
      <c r="R250" s="76">
        <v>2.9769012345679009</v>
      </c>
      <c r="S250" s="76">
        <v>2.9769012345679009</v>
      </c>
      <c r="T250" s="66">
        <v>3.057074832962138</v>
      </c>
      <c r="U250" s="67">
        <f t="shared" si="10"/>
        <v>3.0169880337650197</v>
      </c>
      <c r="V250" s="66">
        <v>3.012682097501024</v>
      </c>
    </row>
    <row r="251" spans="1:22">
      <c r="A251" s="32" t="s">
        <v>110</v>
      </c>
      <c r="B251" s="35" t="s">
        <v>65</v>
      </c>
      <c r="C251" s="35" t="s">
        <v>21</v>
      </c>
      <c r="D251" s="35">
        <v>48</v>
      </c>
      <c r="E251" s="35">
        <v>6000</v>
      </c>
      <c r="F251" s="35">
        <v>10</v>
      </c>
      <c r="G251" s="35">
        <v>2</v>
      </c>
      <c r="H251" s="32" t="s">
        <v>199</v>
      </c>
      <c r="I251" s="32">
        <v>4</v>
      </c>
      <c r="J251" s="32">
        <v>3</v>
      </c>
      <c r="K251" s="32" t="s">
        <v>276</v>
      </c>
      <c r="L251" s="32" t="s">
        <v>158</v>
      </c>
      <c r="M251" s="46" t="s">
        <v>263</v>
      </c>
      <c r="N251" s="35">
        <v>0</v>
      </c>
      <c r="O251" s="51">
        <v>2.1399999999999864</v>
      </c>
      <c r="P251" s="51">
        <v>2.1399999999999864</v>
      </c>
      <c r="Q251" s="64">
        <v>1</v>
      </c>
      <c r="R251" s="76">
        <v>2.8469937500000002</v>
      </c>
      <c r="S251" s="76">
        <v>2.8469937500000002</v>
      </c>
      <c r="T251" s="66">
        <v>2.9449363153904469</v>
      </c>
      <c r="U251" s="67">
        <f t="shared" si="10"/>
        <v>2.8959650326952238</v>
      </c>
      <c r="V251" s="66">
        <v>2.8923857290589452</v>
      </c>
    </row>
    <row r="252" spans="1:22">
      <c r="A252" s="32" t="s">
        <v>110</v>
      </c>
      <c r="B252" s="35" t="s">
        <v>65</v>
      </c>
      <c r="C252" s="35" t="s">
        <v>21</v>
      </c>
      <c r="D252" s="35">
        <v>48</v>
      </c>
      <c r="E252" s="35">
        <v>6000</v>
      </c>
      <c r="F252" s="35">
        <v>10</v>
      </c>
      <c r="G252" s="35">
        <v>2</v>
      </c>
      <c r="H252" s="32" t="s">
        <v>199</v>
      </c>
      <c r="I252" s="32">
        <v>5</v>
      </c>
      <c r="J252" s="32">
        <v>4</v>
      </c>
      <c r="K252" s="32" t="s">
        <v>275</v>
      </c>
      <c r="L252" s="32" t="s">
        <v>155</v>
      </c>
      <c r="M252" s="46" t="s">
        <v>263</v>
      </c>
      <c r="N252" s="35">
        <v>0</v>
      </c>
      <c r="O252" s="51">
        <v>0.68000000000006366</v>
      </c>
      <c r="P252" s="51">
        <v>0.68000000000006366</v>
      </c>
      <c r="Q252" s="64">
        <v>1</v>
      </c>
      <c r="R252" s="76">
        <v>2.9566525951557101</v>
      </c>
      <c r="S252" s="76">
        <v>2.9566525951557101</v>
      </c>
      <c r="T252" s="66">
        <v>3.045928951367781</v>
      </c>
      <c r="U252" s="67">
        <f t="shared" si="10"/>
        <v>3.0012907732617453</v>
      </c>
      <c r="V252" s="66">
        <v>2.996431385869565</v>
      </c>
    </row>
    <row r="253" spans="1:22">
      <c r="A253" s="32" t="s">
        <v>110</v>
      </c>
      <c r="B253" s="35" t="s">
        <v>65</v>
      </c>
      <c r="C253" s="35" t="s">
        <v>21</v>
      </c>
      <c r="D253" s="35">
        <v>48</v>
      </c>
      <c r="E253" s="35">
        <v>6000</v>
      </c>
      <c r="F253" s="35">
        <v>10</v>
      </c>
      <c r="G253" s="35">
        <v>2</v>
      </c>
      <c r="H253" s="32" t="s">
        <v>199</v>
      </c>
      <c r="I253" s="32">
        <v>6</v>
      </c>
      <c r="J253" s="32">
        <v>5</v>
      </c>
      <c r="K253" s="32" t="s">
        <v>275</v>
      </c>
      <c r="L253" s="32" t="s">
        <v>154</v>
      </c>
      <c r="M253" s="46" t="s">
        <v>263</v>
      </c>
      <c r="N253" s="35">
        <v>0</v>
      </c>
      <c r="O253" s="51">
        <v>5.7200000000000273</v>
      </c>
      <c r="P253" s="51">
        <v>5.7200000000000273</v>
      </c>
      <c r="Q253" s="64">
        <v>1</v>
      </c>
      <c r="R253" s="76">
        <v>2.778610562310031</v>
      </c>
      <c r="S253" s="76">
        <v>2.778610562310031</v>
      </c>
      <c r="T253" s="66">
        <v>2.8608612380556711</v>
      </c>
      <c r="U253" s="67">
        <f t="shared" si="10"/>
        <v>2.819735900182851</v>
      </c>
      <c r="V253" s="66">
        <v>2.814940088757397</v>
      </c>
    </row>
    <row r="254" spans="1:22">
      <c r="A254" s="32" t="s">
        <v>110</v>
      </c>
      <c r="B254" s="35" t="s">
        <v>65</v>
      </c>
      <c r="C254" s="35" t="s">
        <v>22</v>
      </c>
      <c r="D254" s="35">
        <v>48</v>
      </c>
      <c r="E254" s="35">
        <v>6000</v>
      </c>
      <c r="F254" s="35">
        <v>10</v>
      </c>
      <c r="G254" s="35">
        <v>3</v>
      </c>
      <c r="H254" s="32" t="s">
        <v>194</v>
      </c>
      <c r="I254" s="32">
        <v>1</v>
      </c>
      <c r="J254" s="32">
        <v>1</v>
      </c>
      <c r="K254" s="32" t="s">
        <v>275</v>
      </c>
      <c r="L254" s="32" t="s">
        <v>153</v>
      </c>
      <c r="M254" s="46" t="s">
        <v>347</v>
      </c>
      <c r="N254" s="35">
        <v>0</v>
      </c>
      <c r="O254" s="51">
        <v>1.0579999999999927</v>
      </c>
      <c r="P254" s="51">
        <v>1.0579999999999927</v>
      </c>
      <c r="Q254" s="64">
        <v>1</v>
      </c>
      <c r="R254" s="76">
        <v>2.764821652719665</v>
      </c>
      <c r="S254" s="76">
        <v>2.764821652719665</v>
      </c>
      <c r="T254" s="66">
        <v>2.8745046728971961</v>
      </c>
      <c r="U254" s="67">
        <f t="shared" si="10"/>
        <v>2.8196631628084305</v>
      </c>
      <c r="V254" s="66">
        <v>2.8195370305370311</v>
      </c>
    </row>
    <row r="255" spans="1:22">
      <c r="A255" s="32" t="s">
        <v>110</v>
      </c>
      <c r="B255" s="35" t="s">
        <v>65</v>
      </c>
      <c r="C255" s="35" t="s">
        <v>22</v>
      </c>
      <c r="D255" s="35">
        <v>48</v>
      </c>
      <c r="E255" s="35">
        <v>6000</v>
      </c>
      <c r="F255" s="35">
        <v>10</v>
      </c>
      <c r="G255" s="35">
        <v>3</v>
      </c>
      <c r="H255" s="32" t="s">
        <v>194</v>
      </c>
      <c r="I255" s="32">
        <v>2</v>
      </c>
      <c r="J255" s="32">
        <v>2</v>
      </c>
      <c r="K255" s="32" t="s">
        <v>276</v>
      </c>
      <c r="L255" s="32" t="s">
        <v>154</v>
      </c>
      <c r="M255" s="47" t="s">
        <v>347</v>
      </c>
      <c r="N255" s="35">
        <v>0</v>
      </c>
      <c r="O255" s="51">
        <v>1.3419999999999845</v>
      </c>
      <c r="P255" s="51">
        <v>1.3419999999999845</v>
      </c>
      <c r="Q255" s="64">
        <v>1</v>
      </c>
      <c r="R255" s="76">
        <v>2.6391147103658539</v>
      </c>
      <c r="S255" s="76">
        <v>2.6391147103658539</v>
      </c>
      <c r="T255" s="66">
        <v>2.7020504664970311</v>
      </c>
      <c r="U255" s="67">
        <f t="shared" si="10"/>
        <v>2.6705825884314427</v>
      </c>
      <c r="V255" s="66">
        <v>2.6670173976078289</v>
      </c>
    </row>
    <row r="256" spans="1:22">
      <c r="A256" s="32" t="s">
        <v>110</v>
      </c>
      <c r="B256" s="35" t="s">
        <v>65</v>
      </c>
      <c r="C256" s="35" t="s">
        <v>22</v>
      </c>
      <c r="D256" s="35">
        <v>48</v>
      </c>
      <c r="E256" s="35">
        <v>6000</v>
      </c>
      <c r="F256" s="35">
        <v>10</v>
      </c>
      <c r="G256" s="35">
        <v>3</v>
      </c>
      <c r="H256" s="32" t="s">
        <v>194</v>
      </c>
      <c r="I256" s="32">
        <v>3</v>
      </c>
      <c r="J256" s="32">
        <v>3</v>
      </c>
      <c r="K256" s="32" t="s">
        <v>276</v>
      </c>
      <c r="L256" s="32" t="s">
        <v>155</v>
      </c>
      <c r="M256" s="47" t="s">
        <v>269</v>
      </c>
      <c r="N256" s="35">
        <v>4.0000000000000002E-4</v>
      </c>
      <c r="O256" s="51">
        <v>1.0109999999999673</v>
      </c>
      <c r="P256" s="51">
        <v>1.0109999999999673</v>
      </c>
      <c r="Q256" s="64">
        <v>1</v>
      </c>
      <c r="R256" s="76">
        <v>2.898227324478178</v>
      </c>
      <c r="S256" s="76">
        <v>2.898227324478178</v>
      </c>
      <c r="T256" s="66">
        <v>2.9914500209117532</v>
      </c>
      <c r="U256" s="67">
        <f t="shared" si="10"/>
        <v>2.9448386726949654</v>
      </c>
      <c r="V256" s="66">
        <v>2.933655248618785</v>
      </c>
    </row>
    <row r="257" spans="1:22">
      <c r="A257" s="32" t="s">
        <v>110</v>
      </c>
      <c r="B257" s="35" t="s">
        <v>65</v>
      </c>
      <c r="C257" s="35" t="s">
        <v>22</v>
      </c>
      <c r="D257" s="35">
        <v>48</v>
      </c>
      <c r="E257" s="35">
        <v>6000</v>
      </c>
      <c r="F257" s="35">
        <v>10</v>
      </c>
      <c r="G257" s="35">
        <v>3</v>
      </c>
      <c r="H257" s="32" t="s">
        <v>194</v>
      </c>
      <c r="I257" s="32">
        <v>4</v>
      </c>
      <c r="K257" s="32" t="s">
        <v>275</v>
      </c>
      <c r="L257" s="32" t="s">
        <v>156</v>
      </c>
      <c r="M257" s="46" t="s">
        <v>269</v>
      </c>
      <c r="N257" s="35"/>
      <c r="O257" s="51"/>
      <c r="P257" s="51"/>
      <c r="Q257" s="64"/>
    </row>
    <row r="258" spans="1:22">
      <c r="A258" s="32" t="s">
        <v>110</v>
      </c>
      <c r="B258" s="35" t="s">
        <v>65</v>
      </c>
      <c r="C258" s="35" t="s">
        <v>22</v>
      </c>
      <c r="D258" s="35">
        <v>48</v>
      </c>
      <c r="E258" s="35">
        <v>6000</v>
      </c>
      <c r="F258" s="35">
        <v>10</v>
      </c>
      <c r="G258" s="35">
        <v>3</v>
      </c>
      <c r="H258" s="32" t="s">
        <v>194</v>
      </c>
      <c r="I258" s="32">
        <v>5</v>
      </c>
      <c r="J258" s="32">
        <v>4</v>
      </c>
      <c r="K258" s="32" t="s">
        <v>276</v>
      </c>
      <c r="L258" s="32" t="s">
        <v>157</v>
      </c>
      <c r="M258" s="47" t="s">
        <v>269</v>
      </c>
      <c r="N258" s="35">
        <v>0</v>
      </c>
      <c r="O258" s="51">
        <v>5.3149999999998272</v>
      </c>
      <c r="P258" s="51">
        <v>5.3149999999998272</v>
      </c>
      <c r="Q258" s="64">
        <v>1</v>
      </c>
      <c r="R258" s="76">
        <v>2.8542916047548288</v>
      </c>
      <c r="S258" s="76">
        <v>2.8542916047548288</v>
      </c>
      <c r="T258" s="66">
        <v>2.9016657258064509</v>
      </c>
      <c r="U258" s="67">
        <f t="shared" ref="U258:U274" si="11">AVERAGE(S258:T258)</f>
        <v>2.8779786652806401</v>
      </c>
      <c r="V258" s="66">
        <v>2.8767352512745812</v>
      </c>
    </row>
    <row r="259" spans="1:22">
      <c r="A259" s="32" t="s">
        <v>110</v>
      </c>
      <c r="B259" s="35" t="s">
        <v>65</v>
      </c>
      <c r="C259" s="35" t="s">
        <v>22</v>
      </c>
      <c r="D259" s="35">
        <v>48</v>
      </c>
      <c r="E259" s="35">
        <v>6000</v>
      </c>
      <c r="F259" s="35">
        <v>10</v>
      </c>
      <c r="G259" s="35">
        <v>3</v>
      </c>
      <c r="H259" s="32" t="s">
        <v>194</v>
      </c>
      <c r="I259" s="32">
        <v>6</v>
      </c>
      <c r="J259" s="32">
        <v>5</v>
      </c>
      <c r="K259" s="32" t="s">
        <v>275</v>
      </c>
      <c r="L259" s="32" t="s">
        <v>158</v>
      </c>
      <c r="M259" s="46" t="s">
        <v>269</v>
      </c>
      <c r="N259" s="35">
        <v>0</v>
      </c>
      <c r="O259" s="51">
        <v>0.11999999999989086</v>
      </c>
      <c r="P259" s="51">
        <v>0.11999999999989086</v>
      </c>
      <c r="Q259" s="64">
        <v>1</v>
      </c>
      <c r="R259" s="76">
        <v>2.813811186319914</v>
      </c>
      <c r="S259" s="76">
        <v>2.813811186319914</v>
      </c>
      <c r="T259" s="66">
        <v>2.9489535916061338</v>
      </c>
      <c r="U259" s="67">
        <f t="shared" si="11"/>
        <v>2.8813823889630239</v>
      </c>
      <c r="V259" s="66">
        <v>2.8651201523545708</v>
      </c>
    </row>
    <row r="260" spans="1:22">
      <c r="A260" s="32" t="s">
        <v>95</v>
      </c>
      <c r="B260" s="35" t="s">
        <v>82</v>
      </c>
      <c r="C260" s="35" t="s">
        <v>14</v>
      </c>
      <c r="D260" s="35">
        <v>42</v>
      </c>
      <c r="E260" s="35">
        <v>5000</v>
      </c>
      <c r="F260" s="35">
        <v>23</v>
      </c>
      <c r="G260" s="35">
        <v>1</v>
      </c>
      <c r="H260" s="32" t="s">
        <v>197</v>
      </c>
      <c r="I260" s="32">
        <v>1</v>
      </c>
      <c r="J260" s="32">
        <v>1</v>
      </c>
      <c r="K260" s="32" t="s">
        <v>275</v>
      </c>
      <c r="L260" s="32" t="s">
        <v>154</v>
      </c>
      <c r="M260" s="46" t="s">
        <v>309</v>
      </c>
      <c r="N260" s="35">
        <v>0</v>
      </c>
      <c r="O260" s="51">
        <v>2.5739999999999839</v>
      </c>
      <c r="P260" s="51">
        <v>2.5739999999999839</v>
      </c>
      <c r="Q260" s="64">
        <v>1</v>
      </c>
      <c r="R260" s="76">
        <v>3.2183620631150318</v>
      </c>
      <c r="S260" s="76">
        <v>3.2183620631150318</v>
      </c>
      <c r="T260" s="66">
        <v>3.2414499999999999</v>
      </c>
      <c r="U260" s="67">
        <f t="shared" si="11"/>
        <v>3.2299060315575159</v>
      </c>
      <c r="V260" s="66">
        <v>3.2354030697364031</v>
      </c>
    </row>
    <row r="261" spans="1:22">
      <c r="A261" s="35" t="s">
        <v>95</v>
      </c>
      <c r="B261" s="35" t="s">
        <v>82</v>
      </c>
      <c r="C261" s="35" t="s">
        <v>14</v>
      </c>
      <c r="D261" s="35">
        <v>42</v>
      </c>
      <c r="E261" s="35">
        <v>5000</v>
      </c>
      <c r="F261" s="35">
        <v>23</v>
      </c>
      <c r="G261" s="35">
        <v>1</v>
      </c>
      <c r="H261" s="35" t="s">
        <v>197</v>
      </c>
      <c r="I261" s="35">
        <v>2</v>
      </c>
      <c r="J261" s="35">
        <v>2</v>
      </c>
      <c r="K261" s="35" t="s">
        <v>276</v>
      </c>
      <c r="L261" s="35" t="s">
        <v>155</v>
      </c>
      <c r="M261" s="47" t="s">
        <v>309</v>
      </c>
      <c r="N261" s="35">
        <v>0</v>
      </c>
      <c r="O261" s="51">
        <v>2.3680000000000518</v>
      </c>
      <c r="P261" s="51">
        <v>2.3680000000000518</v>
      </c>
      <c r="Q261" s="64">
        <v>1</v>
      </c>
      <c r="R261" s="76">
        <v>3.1676988911988908</v>
      </c>
      <c r="S261" s="76">
        <v>3.1676988911988908</v>
      </c>
      <c r="T261" s="66">
        <v>3.1435324947589089</v>
      </c>
      <c r="U261" s="67">
        <f t="shared" si="11"/>
        <v>3.1556156929789001</v>
      </c>
      <c r="V261" s="66">
        <v>3.1726061620897519</v>
      </c>
    </row>
    <row r="262" spans="1:22">
      <c r="A262" s="35" t="s">
        <v>95</v>
      </c>
      <c r="B262" s="35" t="s">
        <v>82</v>
      </c>
      <c r="C262" s="35" t="s">
        <v>14</v>
      </c>
      <c r="D262" s="35">
        <v>42</v>
      </c>
      <c r="E262" s="35">
        <v>5000</v>
      </c>
      <c r="F262" s="35">
        <v>23</v>
      </c>
      <c r="G262" s="35">
        <v>1</v>
      </c>
      <c r="H262" s="35" t="s">
        <v>197</v>
      </c>
      <c r="I262" s="35">
        <v>3</v>
      </c>
      <c r="J262" s="35">
        <v>3</v>
      </c>
      <c r="K262" s="35" t="s">
        <v>275</v>
      </c>
      <c r="L262" s="35" t="s">
        <v>158</v>
      </c>
      <c r="M262" s="47" t="s">
        <v>309</v>
      </c>
      <c r="N262" s="35">
        <v>6.9999999999999999E-4</v>
      </c>
      <c r="O262" s="51">
        <v>0.62899999999990541</v>
      </c>
      <c r="P262" s="51">
        <v>0.62899999999990541</v>
      </c>
      <c r="Q262" s="64">
        <v>1</v>
      </c>
      <c r="R262" s="76">
        <v>3.2527532106907331</v>
      </c>
      <c r="S262" s="76">
        <v>3.2527532106907331</v>
      </c>
      <c r="T262" s="66">
        <v>3.2432600276625179</v>
      </c>
      <c r="U262" s="67">
        <f t="shared" si="11"/>
        <v>3.2480066191766257</v>
      </c>
      <c r="V262" s="66">
        <v>3.257410780046869</v>
      </c>
    </row>
    <row r="263" spans="1:22">
      <c r="A263" s="35" t="s">
        <v>95</v>
      </c>
      <c r="B263" s="35" t="s">
        <v>82</v>
      </c>
      <c r="C263" s="35" t="s">
        <v>14</v>
      </c>
      <c r="D263" s="35">
        <v>42</v>
      </c>
      <c r="E263" s="35">
        <v>5000</v>
      </c>
      <c r="F263" s="35">
        <v>23</v>
      </c>
      <c r="G263" s="35">
        <v>1</v>
      </c>
      <c r="H263" s="35" t="s">
        <v>197</v>
      </c>
      <c r="I263" s="35">
        <v>4</v>
      </c>
      <c r="J263" s="35">
        <v>4</v>
      </c>
      <c r="K263" s="35" t="s">
        <v>276</v>
      </c>
      <c r="L263" s="35" t="s">
        <v>157</v>
      </c>
      <c r="M263" s="47" t="s">
        <v>309</v>
      </c>
      <c r="N263" s="35">
        <v>0.15540000000000001</v>
      </c>
      <c r="O263" s="51">
        <v>2.2839999999999918</v>
      </c>
      <c r="P263" s="51">
        <v>2.2839999999999918</v>
      </c>
      <c r="Q263" s="64">
        <v>1</v>
      </c>
      <c r="R263" s="76">
        <v>3.162502430555556</v>
      </c>
      <c r="S263" s="76">
        <v>3.162502430555556</v>
      </c>
      <c r="T263" s="66">
        <v>3.11546350877193</v>
      </c>
      <c r="U263" s="67">
        <f t="shared" si="11"/>
        <v>3.138982969663743</v>
      </c>
      <c r="V263" s="66">
        <v>3.1579745564111139</v>
      </c>
    </row>
    <row r="264" spans="1:22">
      <c r="A264" s="35" t="s">
        <v>95</v>
      </c>
      <c r="B264" s="35" t="s">
        <v>82</v>
      </c>
      <c r="C264" s="35" t="s">
        <v>14</v>
      </c>
      <c r="D264" s="35">
        <v>42</v>
      </c>
      <c r="E264" s="35">
        <v>5000</v>
      </c>
      <c r="F264" s="35">
        <v>23</v>
      </c>
      <c r="G264" s="35">
        <v>1</v>
      </c>
      <c r="H264" s="35" t="s">
        <v>197</v>
      </c>
      <c r="I264" s="35">
        <v>5</v>
      </c>
      <c r="J264" s="35"/>
      <c r="K264" s="35" t="s">
        <v>276</v>
      </c>
      <c r="L264" s="35" t="s">
        <v>156</v>
      </c>
      <c r="M264" s="47" t="s">
        <v>309</v>
      </c>
      <c r="N264" s="35"/>
      <c r="O264" s="51"/>
      <c r="P264" s="51"/>
      <c r="Q264" s="64"/>
      <c r="R264" s="76">
        <v>3.7480000000000002</v>
      </c>
      <c r="S264" s="76">
        <v>3.7480000000000002</v>
      </c>
      <c r="T264" s="66">
        <v>3.7890000000000001</v>
      </c>
      <c r="U264" s="67">
        <f t="shared" si="11"/>
        <v>3.7685000000000004</v>
      </c>
      <c r="V264" s="66">
        <v>3.7679999999999998</v>
      </c>
    </row>
    <row r="265" spans="1:22">
      <c r="A265" s="35" t="s">
        <v>95</v>
      </c>
      <c r="B265" s="35" t="s">
        <v>82</v>
      </c>
      <c r="C265" s="35" t="s">
        <v>14</v>
      </c>
      <c r="D265" s="35">
        <v>42</v>
      </c>
      <c r="E265" s="35">
        <v>5000</v>
      </c>
      <c r="F265" s="35">
        <v>23</v>
      </c>
      <c r="G265" s="35">
        <v>1</v>
      </c>
      <c r="H265" s="35" t="s">
        <v>197</v>
      </c>
      <c r="I265" s="35">
        <v>6</v>
      </c>
      <c r="J265" s="35">
        <v>5</v>
      </c>
      <c r="K265" s="35" t="s">
        <v>275</v>
      </c>
      <c r="L265" s="35" t="s">
        <v>153</v>
      </c>
      <c r="M265" s="47" t="s">
        <v>309</v>
      </c>
      <c r="N265" s="35">
        <v>0.3856</v>
      </c>
      <c r="O265" s="51">
        <v>0.54800000000000182</v>
      </c>
      <c r="P265" s="51">
        <v>0.54800000000000182</v>
      </c>
      <c r="Q265" s="64">
        <v>1</v>
      </c>
      <c r="R265" s="76">
        <v>3.237657610588645</v>
      </c>
      <c r="S265" s="76">
        <v>3.237657610588645</v>
      </c>
      <c r="T265" s="66">
        <v>3.1163469531525192</v>
      </c>
      <c r="U265" s="67">
        <f t="shared" si="11"/>
        <v>3.1770022818705819</v>
      </c>
      <c r="V265" s="66">
        <v>3.1901205222631401</v>
      </c>
    </row>
    <row r="266" spans="1:22">
      <c r="A266" s="32" t="s">
        <v>95</v>
      </c>
      <c r="B266" s="35" t="s">
        <v>82</v>
      </c>
      <c r="C266" s="35" t="s">
        <v>21</v>
      </c>
      <c r="D266" s="35">
        <v>42</v>
      </c>
      <c r="E266" s="35">
        <v>5000</v>
      </c>
      <c r="F266" s="35">
        <v>23</v>
      </c>
      <c r="G266" s="35">
        <v>2</v>
      </c>
      <c r="H266" s="32" t="s">
        <v>199</v>
      </c>
      <c r="I266" s="32">
        <v>1</v>
      </c>
      <c r="K266" s="32" t="s">
        <v>276</v>
      </c>
      <c r="L266" s="32" t="s">
        <v>156</v>
      </c>
      <c r="M266" s="42" t="s">
        <v>310</v>
      </c>
      <c r="N266" s="35"/>
      <c r="O266" s="51"/>
      <c r="P266" s="51"/>
      <c r="Q266" s="64"/>
      <c r="R266" s="76">
        <v>5.0190000000000001</v>
      </c>
      <c r="S266" s="76">
        <v>5.0190000000000001</v>
      </c>
      <c r="T266" s="66">
        <v>3.0790000000000002</v>
      </c>
      <c r="U266" s="67">
        <f t="shared" si="11"/>
        <v>4.0490000000000004</v>
      </c>
      <c r="V266" s="66">
        <v>4.0490000000000004</v>
      </c>
    </row>
    <row r="267" spans="1:22">
      <c r="A267" s="32" t="s">
        <v>95</v>
      </c>
      <c r="B267" s="35" t="s">
        <v>82</v>
      </c>
      <c r="C267" s="35" t="s">
        <v>21</v>
      </c>
      <c r="D267" s="35">
        <v>42</v>
      </c>
      <c r="E267" s="35">
        <v>5000</v>
      </c>
      <c r="F267" s="35">
        <v>23</v>
      </c>
      <c r="G267" s="35">
        <v>2</v>
      </c>
      <c r="H267" s="32" t="s">
        <v>199</v>
      </c>
      <c r="I267" s="32">
        <v>2</v>
      </c>
      <c r="J267" s="32">
        <v>1</v>
      </c>
      <c r="K267" s="32" t="s">
        <v>275</v>
      </c>
      <c r="L267" s="32" t="s">
        <v>157</v>
      </c>
      <c r="M267" s="42" t="s">
        <v>310</v>
      </c>
      <c r="N267" s="35">
        <v>0</v>
      </c>
      <c r="O267" s="51">
        <v>4.6800000000000068</v>
      </c>
      <c r="P267" s="51">
        <v>4.6800000000000068</v>
      </c>
      <c r="Q267" s="64">
        <v>1</v>
      </c>
      <c r="R267" s="76">
        <v>3.2091049840933201</v>
      </c>
      <c r="S267" s="76">
        <v>3.2091049840933201</v>
      </c>
      <c r="T267" s="66">
        <v>3.0511294452347082</v>
      </c>
      <c r="U267" s="67">
        <f t="shared" si="11"/>
        <v>3.1301172146640139</v>
      </c>
      <c r="V267" s="66">
        <v>3.1573847702113391</v>
      </c>
    </row>
    <row r="268" spans="1:22">
      <c r="A268" s="32" t="s">
        <v>95</v>
      </c>
      <c r="B268" s="35" t="s">
        <v>82</v>
      </c>
      <c r="C268" s="35" t="s">
        <v>21</v>
      </c>
      <c r="D268" s="35">
        <v>42</v>
      </c>
      <c r="E268" s="35">
        <v>5000</v>
      </c>
      <c r="F268" s="35">
        <v>23</v>
      </c>
      <c r="G268" s="35">
        <v>2</v>
      </c>
      <c r="H268" s="32" t="s">
        <v>199</v>
      </c>
      <c r="I268" s="32">
        <v>3</v>
      </c>
      <c r="J268" s="32">
        <v>2</v>
      </c>
      <c r="K268" s="32" t="s">
        <v>276</v>
      </c>
      <c r="L268" s="32" t="s">
        <v>153</v>
      </c>
      <c r="M268" s="42" t="s">
        <v>217</v>
      </c>
      <c r="N268" s="35">
        <v>0</v>
      </c>
      <c r="O268" s="51">
        <v>2.9300000000000637</v>
      </c>
      <c r="P268" s="51">
        <v>2.9300000000000637</v>
      </c>
      <c r="Q268" s="64">
        <v>1</v>
      </c>
      <c r="R268" s="76">
        <v>3.3380669305505579</v>
      </c>
      <c r="S268" s="76">
        <v>3.3380669305505579</v>
      </c>
      <c r="T268" s="66">
        <v>3.1418664471276978</v>
      </c>
      <c r="U268" s="67">
        <f t="shared" si="11"/>
        <v>3.2399666888391279</v>
      </c>
      <c r="V268" s="66">
        <v>3.26682554200542</v>
      </c>
    </row>
    <row r="269" spans="1:22">
      <c r="A269" s="32" t="s">
        <v>95</v>
      </c>
      <c r="B269" s="35" t="s">
        <v>82</v>
      </c>
      <c r="C269" s="35" t="s">
        <v>21</v>
      </c>
      <c r="D269" s="35">
        <v>42</v>
      </c>
      <c r="E269" s="35">
        <v>5000</v>
      </c>
      <c r="F269" s="35">
        <v>23</v>
      </c>
      <c r="G269" s="35">
        <v>2</v>
      </c>
      <c r="H269" s="32" t="s">
        <v>199</v>
      </c>
      <c r="I269" s="32">
        <v>4</v>
      </c>
      <c r="J269" s="32">
        <v>3</v>
      </c>
      <c r="K269" s="32" t="s">
        <v>276</v>
      </c>
      <c r="L269" s="32" t="s">
        <v>158</v>
      </c>
      <c r="M269" s="42" t="s">
        <v>217</v>
      </c>
      <c r="N269" s="35">
        <v>4.0000000000000002E-4</v>
      </c>
      <c r="O269" s="51">
        <v>1.9500000000000455</v>
      </c>
      <c r="P269" s="51">
        <v>1.9500000000000455</v>
      </c>
      <c r="Q269" s="64">
        <v>1</v>
      </c>
      <c r="R269" s="76">
        <v>3.4182825607064018</v>
      </c>
      <c r="S269" s="76">
        <v>3.4182825607064018</v>
      </c>
      <c r="T269" s="66">
        <v>3.1920025773195868</v>
      </c>
      <c r="U269" s="67">
        <f t="shared" si="11"/>
        <v>3.3051425690129941</v>
      </c>
      <c r="V269" s="66">
        <v>3.3341131175468481</v>
      </c>
    </row>
    <row r="270" spans="1:22">
      <c r="A270" s="32" t="s">
        <v>95</v>
      </c>
      <c r="B270" s="35" t="s">
        <v>82</v>
      </c>
      <c r="C270" s="35" t="s">
        <v>21</v>
      </c>
      <c r="D270" s="35">
        <v>42</v>
      </c>
      <c r="E270" s="35">
        <v>5000</v>
      </c>
      <c r="F270" s="35">
        <v>23</v>
      </c>
      <c r="G270" s="35">
        <v>2</v>
      </c>
      <c r="H270" s="32" t="s">
        <v>199</v>
      </c>
      <c r="I270" s="32">
        <v>5</v>
      </c>
      <c r="J270" s="32">
        <v>4</v>
      </c>
      <c r="K270" s="32" t="s">
        <v>275</v>
      </c>
      <c r="L270" s="32" t="s">
        <v>155</v>
      </c>
      <c r="M270" s="42" t="s">
        <v>217</v>
      </c>
      <c r="N270" s="35">
        <v>0</v>
      </c>
      <c r="O270" s="51">
        <v>0.24000000000000909</v>
      </c>
      <c r="P270" s="51">
        <v>0.24000000000000909</v>
      </c>
      <c r="Q270" s="64">
        <v>1</v>
      </c>
      <c r="R270" s="76">
        <v>3.325219821162444</v>
      </c>
      <c r="S270" s="76">
        <v>3.325219821162444</v>
      </c>
      <c r="T270" s="66">
        <v>3.0798410620792822</v>
      </c>
      <c r="U270" s="67">
        <f t="shared" si="11"/>
        <v>3.2025304416208629</v>
      </c>
      <c r="V270" s="66">
        <v>3.230788862316365</v>
      </c>
    </row>
    <row r="271" spans="1:22">
      <c r="A271" s="32" t="s">
        <v>95</v>
      </c>
      <c r="B271" s="35" t="s">
        <v>82</v>
      </c>
      <c r="C271" s="35" t="s">
        <v>21</v>
      </c>
      <c r="D271" s="35">
        <v>42</v>
      </c>
      <c r="E271" s="35">
        <v>5000</v>
      </c>
      <c r="F271" s="35">
        <v>23</v>
      </c>
      <c r="G271" s="35">
        <v>2</v>
      </c>
      <c r="H271" s="32" t="s">
        <v>199</v>
      </c>
      <c r="I271" s="32">
        <v>6</v>
      </c>
      <c r="J271" s="32">
        <v>5</v>
      </c>
      <c r="K271" s="32" t="s">
        <v>275</v>
      </c>
      <c r="L271" s="32" t="s">
        <v>154</v>
      </c>
      <c r="M271" s="42" t="s">
        <v>217</v>
      </c>
      <c r="N271" s="35">
        <v>0</v>
      </c>
      <c r="O271" s="51">
        <v>3.1600000000000819</v>
      </c>
      <c r="P271" s="51">
        <v>3.1600000000000819</v>
      </c>
      <c r="Q271" s="64">
        <v>1</v>
      </c>
      <c r="R271" s="76">
        <v>3.4103095859753831</v>
      </c>
      <c r="S271" s="76">
        <v>3.4103095859753831</v>
      </c>
      <c r="T271" s="66">
        <v>3.1886414743112441</v>
      </c>
      <c r="U271" s="67">
        <f t="shared" si="11"/>
        <v>3.2994755301433134</v>
      </c>
      <c r="V271" s="66">
        <v>3.3314948489010989</v>
      </c>
    </row>
    <row r="272" spans="1:22">
      <c r="A272" s="32" t="s">
        <v>95</v>
      </c>
      <c r="B272" s="35" t="s">
        <v>82</v>
      </c>
      <c r="C272" s="35" t="s">
        <v>22</v>
      </c>
      <c r="D272" s="35">
        <v>42</v>
      </c>
      <c r="E272" s="35">
        <v>5000</v>
      </c>
      <c r="F272" s="35">
        <v>23</v>
      </c>
      <c r="G272" s="35">
        <v>3</v>
      </c>
      <c r="H272" s="32" t="s">
        <v>194</v>
      </c>
      <c r="I272" s="32">
        <v>1</v>
      </c>
      <c r="J272" s="32">
        <v>1</v>
      </c>
      <c r="K272" s="32" t="s">
        <v>275</v>
      </c>
      <c r="L272" s="32" t="s">
        <v>153</v>
      </c>
      <c r="M272" s="46" t="s">
        <v>311</v>
      </c>
      <c r="N272" s="35">
        <v>0</v>
      </c>
      <c r="O272" s="51">
        <v>2.9659999999999798</v>
      </c>
      <c r="P272" s="51">
        <v>2.9659999999999798</v>
      </c>
      <c r="Q272" s="64">
        <v>1</v>
      </c>
      <c r="R272" s="76">
        <v>3.2483610003624501</v>
      </c>
      <c r="S272" s="76">
        <v>3.2483610003624501</v>
      </c>
      <c r="T272" s="66">
        <v>3.0913789285714279</v>
      </c>
      <c r="U272" s="67">
        <f t="shared" si="11"/>
        <v>3.169869964466939</v>
      </c>
      <c r="V272" s="66">
        <v>3.2064640324214788</v>
      </c>
    </row>
    <row r="273" spans="1:22">
      <c r="A273" s="32" t="s">
        <v>95</v>
      </c>
      <c r="B273" s="35" t="s">
        <v>82</v>
      </c>
      <c r="C273" s="35" t="s">
        <v>22</v>
      </c>
      <c r="D273" s="35">
        <v>42</v>
      </c>
      <c r="E273" s="35">
        <v>5000</v>
      </c>
      <c r="F273" s="35">
        <v>23</v>
      </c>
      <c r="G273" s="35">
        <v>3</v>
      </c>
      <c r="H273" s="32" t="s">
        <v>194</v>
      </c>
      <c r="I273" s="32">
        <v>2</v>
      </c>
      <c r="J273" s="32">
        <v>2</v>
      </c>
      <c r="K273" s="32" t="s">
        <v>276</v>
      </c>
      <c r="L273" s="32" t="s">
        <v>154</v>
      </c>
      <c r="M273" s="46" t="s">
        <v>311</v>
      </c>
      <c r="N273" s="35">
        <v>0</v>
      </c>
      <c r="O273" s="51">
        <v>6.1680000000000064</v>
      </c>
      <c r="P273" s="51">
        <v>6.1680000000000064</v>
      </c>
      <c r="Q273" s="64">
        <v>1</v>
      </c>
      <c r="R273" s="76">
        <v>3.3038654708520179</v>
      </c>
      <c r="S273" s="76">
        <v>3.3038654708520179</v>
      </c>
      <c r="T273" s="66">
        <v>3.1147144954128452</v>
      </c>
      <c r="U273" s="67">
        <f t="shared" si="11"/>
        <v>3.2092899831324315</v>
      </c>
      <c r="V273" s="66">
        <v>3.2476733040836989</v>
      </c>
    </row>
    <row r="274" spans="1:22">
      <c r="A274" s="32" t="s">
        <v>95</v>
      </c>
      <c r="B274" s="35" t="s">
        <v>82</v>
      </c>
      <c r="C274" s="35" t="s">
        <v>22</v>
      </c>
      <c r="D274" s="35">
        <v>42</v>
      </c>
      <c r="E274" s="35">
        <v>5000</v>
      </c>
      <c r="F274" s="35">
        <v>23</v>
      </c>
      <c r="G274" s="35">
        <v>3</v>
      </c>
      <c r="H274" s="32" t="s">
        <v>194</v>
      </c>
      <c r="I274" s="32">
        <v>3</v>
      </c>
      <c r="J274" s="32">
        <v>3</v>
      </c>
      <c r="K274" s="32" t="s">
        <v>276</v>
      </c>
      <c r="L274" s="32" t="s">
        <v>155</v>
      </c>
      <c r="M274" s="46" t="s">
        <v>264</v>
      </c>
      <c r="N274" s="35">
        <v>0.76049999999999995</v>
      </c>
      <c r="O274" s="51">
        <v>2.4160000000000537</v>
      </c>
      <c r="P274" s="51">
        <v>2.4160000000000537</v>
      </c>
      <c r="Q274" s="64">
        <v>1</v>
      </c>
      <c r="R274" s="76">
        <v>3.1920447598253272</v>
      </c>
      <c r="S274" s="76">
        <v>3.1920447598253272</v>
      </c>
      <c r="T274" s="66">
        <v>3.048845080763583</v>
      </c>
      <c r="U274" s="67">
        <f t="shared" si="11"/>
        <v>3.1204449202944549</v>
      </c>
      <c r="V274" s="66">
        <v>3.155167689161555</v>
      </c>
    </row>
    <row r="275" spans="1:22">
      <c r="A275" s="32" t="s">
        <v>95</v>
      </c>
      <c r="B275" s="35" t="s">
        <v>82</v>
      </c>
      <c r="C275" s="35" t="s">
        <v>22</v>
      </c>
      <c r="D275" s="35">
        <v>42</v>
      </c>
      <c r="E275" s="35">
        <v>5000</v>
      </c>
      <c r="F275" s="35">
        <v>23</v>
      </c>
      <c r="G275" s="35">
        <v>3</v>
      </c>
      <c r="H275" s="32" t="s">
        <v>194</v>
      </c>
      <c r="I275" s="32">
        <v>4</v>
      </c>
      <c r="K275" s="32" t="s">
        <v>275</v>
      </c>
      <c r="L275" s="32" t="s">
        <v>156</v>
      </c>
      <c r="M275" s="46" t="s">
        <v>264</v>
      </c>
      <c r="N275" s="35"/>
      <c r="O275" s="51"/>
      <c r="P275" s="51"/>
      <c r="Q275" s="64"/>
    </row>
    <row r="276" spans="1:22">
      <c r="A276" s="32" t="s">
        <v>95</v>
      </c>
      <c r="B276" s="35" t="s">
        <v>82</v>
      </c>
      <c r="C276" s="35" t="s">
        <v>22</v>
      </c>
      <c r="D276" s="35">
        <v>42</v>
      </c>
      <c r="E276" s="35">
        <v>5000</v>
      </c>
      <c r="F276" s="35">
        <v>23</v>
      </c>
      <c r="G276" s="35">
        <v>3</v>
      </c>
      <c r="H276" s="32" t="s">
        <v>194</v>
      </c>
      <c r="I276" s="32">
        <v>5</v>
      </c>
      <c r="J276" s="32">
        <v>4</v>
      </c>
      <c r="K276" s="32" t="s">
        <v>276</v>
      </c>
      <c r="L276" s="32" t="s">
        <v>157</v>
      </c>
      <c r="M276" s="46" t="s">
        <v>264</v>
      </c>
      <c r="N276" s="35">
        <v>0</v>
      </c>
      <c r="O276" s="51">
        <v>5.7200000000000273</v>
      </c>
      <c r="P276" s="51">
        <v>5.7200000000000273</v>
      </c>
      <c r="Q276" s="64">
        <v>1</v>
      </c>
      <c r="R276" s="76">
        <v>3.262684248039915</v>
      </c>
      <c r="S276" s="76">
        <v>3.262684248039915</v>
      </c>
      <c r="T276" s="66">
        <v>3.1213362894643488</v>
      </c>
      <c r="U276" s="67">
        <f t="shared" ref="U276:U301" si="12">AVERAGE(S276:T276)</f>
        <v>3.1920102687521319</v>
      </c>
      <c r="V276" s="66">
        <v>3.2286676727028838</v>
      </c>
    </row>
    <row r="277" spans="1:22">
      <c r="A277" s="32" t="s">
        <v>95</v>
      </c>
      <c r="B277" s="35" t="s">
        <v>82</v>
      </c>
      <c r="C277" s="35" t="s">
        <v>22</v>
      </c>
      <c r="D277" s="35">
        <v>42</v>
      </c>
      <c r="E277" s="35">
        <v>5000</v>
      </c>
      <c r="F277" s="35">
        <v>23</v>
      </c>
      <c r="G277" s="35">
        <v>3</v>
      </c>
      <c r="H277" s="32" t="s">
        <v>194</v>
      </c>
      <c r="I277" s="32">
        <v>6</v>
      </c>
      <c r="J277" s="32">
        <v>5</v>
      </c>
      <c r="K277" s="32" t="s">
        <v>275</v>
      </c>
      <c r="L277" s="32" t="s">
        <v>158</v>
      </c>
      <c r="M277" s="46" t="s">
        <v>264</v>
      </c>
      <c r="N277" s="35">
        <v>0.18709999999999999</v>
      </c>
      <c r="O277" s="51">
        <v>2.0899999999999181</v>
      </c>
      <c r="P277" s="51">
        <v>2.0899999999999181</v>
      </c>
      <c r="Q277" s="64">
        <v>1</v>
      </c>
      <c r="R277" s="76">
        <v>3.4419868469126782</v>
      </c>
      <c r="S277" s="76">
        <v>3.4419868469126782</v>
      </c>
      <c r="T277" s="66">
        <v>3.247265201465201</v>
      </c>
      <c r="U277" s="67">
        <f t="shared" si="12"/>
        <v>3.3446260241889396</v>
      </c>
      <c r="V277" s="66">
        <v>3.3825371060657399</v>
      </c>
    </row>
    <row r="278" spans="1:22">
      <c r="A278" s="33" t="s">
        <v>96</v>
      </c>
      <c r="B278" s="37" t="s">
        <v>82</v>
      </c>
      <c r="C278" s="37" t="s">
        <v>22</v>
      </c>
      <c r="D278" s="35">
        <v>61</v>
      </c>
      <c r="E278" s="35">
        <v>8000</v>
      </c>
      <c r="F278" s="35">
        <v>40</v>
      </c>
      <c r="G278" s="37">
        <v>1</v>
      </c>
      <c r="H278" s="33" t="s">
        <v>197</v>
      </c>
      <c r="I278" s="33">
        <v>1</v>
      </c>
      <c r="J278" s="33">
        <v>1</v>
      </c>
      <c r="K278" s="33" t="s">
        <v>275</v>
      </c>
      <c r="L278" s="33" t="s">
        <v>154</v>
      </c>
      <c r="M278" s="43" t="s">
        <v>312</v>
      </c>
      <c r="N278" s="35">
        <v>0</v>
      </c>
      <c r="O278" s="51">
        <v>0.63900000000001</v>
      </c>
      <c r="P278" s="51">
        <v>0.63900000000001</v>
      </c>
      <c r="Q278" s="64">
        <v>1</v>
      </c>
      <c r="R278" s="76">
        <v>2.638170910359261</v>
      </c>
      <c r="S278" s="76">
        <v>2.638170910359261</v>
      </c>
      <c r="T278" s="66">
        <v>2.478144486692015</v>
      </c>
      <c r="U278" s="67">
        <f t="shared" si="12"/>
        <v>2.5581576985256378</v>
      </c>
      <c r="V278" s="66">
        <v>2.5636231884057969</v>
      </c>
    </row>
    <row r="279" spans="1:22">
      <c r="A279" s="33" t="s">
        <v>96</v>
      </c>
      <c r="B279" s="37" t="s">
        <v>82</v>
      </c>
      <c r="C279" s="37" t="s">
        <v>22</v>
      </c>
      <c r="D279" s="35">
        <v>61</v>
      </c>
      <c r="E279" s="35">
        <v>8000</v>
      </c>
      <c r="F279" s="35">
        <v>40</v>
      </c>
      <c r="G279" s="37">
        <v>1</v>
      </c>
      <c r="H279" s="33" t="s">
        <v>197</v>
      </c>
      <c r="I279" s="33">
        <v>2</v>
      </c>
      <c r="J279" s="33">
        <v>2</v>
      </c>
      <c r="K279" s="33" t="s">
        <v>276</v>
      </c>
      <c r="L279" s="33" t="s">
        <v>155</v>
      </c>
      <c r="M279" s="43" t="s">
        <v>312</v>
      </c>
      <c r="N279" s="35">
        <v>0</v>
      </c>
      <c r="O279" s="51">
        <v>1.3180000000000973</v>
      </c>
      <c r="P279" s="51">
        <v>1.3180000000000973</v>
      </c>
      <c r="Q279" s="64">
        <v>1</v>
      </c>
      <c r="R279" s="76">
        <v>2.574171122994652</v>
      </c>
      <c r="S279" s="76">
        <v>2.574171122994652</v>
      </c>
      <c r="T279" s="66">
        <v>2.4187753357753361</v>
      </c>
      <c r="U279" s="67">
        <f t="shared" si="12"/>
        <v>2.4964732293849941</v>
      </c>
      <c r="V279" s="66">
        <v>2.5062510445682449</v>
      </c>
    </row>
    <row r="280" spans="1:22">
      <c r="A280" s="33" t="s">
        <v>96</v>
      </c>
      <c r="B280" s="37" t="s">
        <v>82</v>
      </c>
      <c r="C280" s="37" t="s">
        <v>22</v>
      </c>
      <c r="D280" s="35">
        <v>61</v>
      </c>
      <c r="E280" s="35">
        <v>8000</v>
      </c>
      <c r="F280" s="35">
        <v>40</v>
      </c>
      <c r="G280" s="37">
        <v>1</v>
      </c>
      <c r="H280" s="33" t="s">
        <v>197</v>
      </c>
      <c r="I280" s="33">
        <v>3</v>
      </c>
      <c r="J280" s="33">
        <v>3</v>
      </c>
      <c r="K280" s="33" t="s">
        <v>275</v>
      </c>
      <c r="L280" s="33" t="s">
        <v>158</v>
      </c>
      <c r="M280" s="43" t="s">
        <v>312</v>
      </c>
      <c r="N280" s="35">
        <v>0</v>
      </c>
      <c r="O280" s="51">
        <v>2.7770000000000437</v>
      </c>
      <c r="P280" s="51">
        <v>2.7770000000000437</v>
      </c>
      <c r="Q280" s="64">
        <v>1</v>
      </c>
      <c r="R280" s="76">
        <v>2.6642256590509659</v>
      </c>
      <c r="S280" s="76">
        <v>2.6642256590509659</v>
      </c>
      <c r="T280" s="66">
        <v>2.4720243370868138</v>
      </c>
      <c r="U280" s="67">
        <f t="shared" si="12"/>
        <v>2.5681249980688898</v>
      </c>
      <c r="V280" s="66">
        <v>2.5787714484195901</v>
      </c>
    </row>
    <row r="281" spans="1:22">
      <c r="A281" s="33" t="s">
        <v>96</v>
      </c>
      <c r="B281" s="37" t="s">
        <v>82</v>
      </c>
      <c r="C281" s="37" t="s">
        <v>22</v>
      </c>
      <c r="D281" s="35">
        <v>61</v>
      </c>
      <c r="E281" s="35">
        <v>8000</v>
      </c>
      <c r="F281" s="35">
        <v>40</v>
      </c>
      <c r="G281" s="37">
        <v>1</v>
      </c>
      <c r="H281" s="33" t="s">
        <v>197</v>
      </c>
      <c r="I281" s="33">
        <v>4</v>
      </c>
      <c r="J281" s="33">
        <v>4</v>
      </c>
      <c r="K281" s="33" t="s">
        <v>276</v>
      </c>
      <c r="L281" s="33" t="s">
        <v>157</v>
      </c>
      <c r="M281" s="43" t="s">
        <v>312</v>
      </c>
      <c r="N281" s="35">
        <v>0</v>
      </c>
      <c r="O281" s="51">
        <v>4.2010000000000218</v>
      </c>
      <c r="P281" s="51">
        <v>4.2010000000000218</v>
      </c>
      <c r="Q281" s="64">
        <v>1</v>
      </c>
      <c r="R281" s="76">
        <v>2.475848538217682</v>
      </c>
      <c r="S281" s="76">
        <v>2.475848538217682</v>
      </c>
      <c r="T281" s="66">
        <v>2.3326159909909912</v>
      </c>
      <c r="U281" s="67">
        <f t="shared" si="12"/>
        <v>2.4042322646043366</v>
      </c>
      <c r="V281" s="66">
        <v>2.4100820353063339</v>
      </c>
    </row>
    <row r="282" spans="1:22">
      <c r="A282" s="33" t="s">
        <v>96</v>
      </c>
      <c r="B282" s="37" t="s">
        <v>82</v>
      </c>
      <c r="C282" s="37" t="s">
        <v>22</v>
      </c>
      <c r="D282" s="35">
        <v>61</v>
      </c>
      <c r="E282" s="35">
        <v>8000</v>
      </c>
      <c r="F282" s="35">
        <v>40</v>
      </c>
      <c r="G282" s="37">
        <v>1</v>
      </c>
      <c r="H282" s="33" t="s">
        <v>197</v>
      </c>
      <c r="I282" s="33">
        <v>5</v>
      </c>
      <c r="J282" s="33"/>
      <c r="K282" s="33" t="s">
        <v>276</v>
      </c>
      <c r="L282" s="33" t="s">
        <v>156</v>
      </c>
      <c r="M282" s="43" t="s">
        <v>312</v>
      </c>
      <c r="N282" s="35"/>
      <c r="O282" s="51"/>
      <c r="P282" s="51"/>
      <c r="Q282" s="64"/>
      <c r="R282" s="76">
        <v>2.847</v>
      </c>
      <c r="S282" s="76">
        <v>2.847</v>
      </c>
      <c r="T282" s="66">
        <v>2.7029999999999998</v>
      </c>
      <c r="U282" s="67">
        <f t="shared" si="12"/>
        <v>2.7749999999999999</v>
      </c>
      <c r="V282" s="66">
        <v>2.7749999999999999</v>
      </c>
    </row>
    <row r="283" spans="1:22">
      <c r="A283" s="33" t="s">
        <v>96</v>
      </c>
      <c r="B283" s="37" t="s">
        <v>82</v>
      </c>
      <c r="C283" s="37" t="s">
        <v>22</v>
      </c>
      <c r="D283" s="35">
        <v>61</v>
      </c>
      <c r="E283" s="35">
        <v>8000</v>
      </c>
      <c r="F283" s="35">
        <v>40</v>
      </c>
      <c r="G283" s="37">
        <v>1</v>
      </c>
      <c r="H283" s="33" t="s">
        <v>197</v>
      </c>
      <c r="I283" s="33">
        <v>6</v>
      </c>
      <c r="J283" s="33">
        <v>5</v>
      </c>
      <c r="K283" s="33" t="s">
        <v>275</v>
      </c>
      <c r="L283" s="33" t="s">
        <v>153</v>
      </c>
      <c r="M283" s="43" t="s">
        <v>312</v>
      </c>
      <c r="N283" s="35">
        <v>0</v>
      </c>
      <c r="O283" s="51">
        <v>2.9120000000000346</v>
      </c>
      <c r="P283" s="51">
        <v>2.9120000000000346</v>
      </c>
      <c r="Q283" s="64">
        <v>1</v>
      </c>
      <c r="R283" s="76">
        <v>2.4252522288261522</v>
      </c>
      <c r="S283" s="76">
        <v>2.4252522288261522</v>
      </c>
      <c r="T283" s="66">
        <v>2.328880058508044</v>
      </c>
      <c r="U283" s="67">
        <f t="shared" si="12"/>
        <v>2.3770661436670979</v>
      </c>
      <c r="V283" s="66">
        <v>2.393491634033464</v>
      </c>
    </row>
    <row r="284" spans="1:22">
      <c r="A284" s="33" t="s">
        <v>96</v>
      </c>
      <c r="B284" s="37" t="s">
        <v>82</v>
      </c>
      <c r="C284" s="37" t="s">
        <v>14</v>
      </c>
      <c r="D284" s="35">
        <v>61</v>
      </c>
      <c r="E284" s="35">
        <v>8000</v>
      </c>
      <c r="F284" s="35">
        <v>40</v>
      </c>
      <c r="G284" s="37">
        <v>2</v>
      </c>
      <c r="H284" s="33" t="s">
        <v>199</v>
      </c>
      <c r="I284" s="33">
        <v>1</v>
      </c>
      <c r="J284" s="33"/>
      <c r="K284" s="33" t="s">
        <v>276</v>
      </c>
      <c r="L284" s="33" t="s">
        <v>156</v>
      </c>
      <c r="M284" s="43" t="s">
        <v>313</v>
      </c>
      <c r="N284" s="35"/>
      <c r="O284" s="51"/>
      <c r="P284" s="51"/>
      <c r="Q284" s="64"/>
      <c r="R284" s="76">
        <v>2.95</v>
      </c>
      <c r="S284" s="76">
        <v>2.95</v>
      </c>
      <c r="T284" s="66">
        <v>2.7210000000000001</v>
      </c>
      <c r="U284" s="67">
        <f t="shared" si="12"/>
        <v>2.8355000000000001</v>
      </c>
      <c r="V284" s="66">
        <v>2.835</v>
      </c>
    </row>
    <row r="285" spans="1:22">
      <c r="A285" s="33" t="s">
        <v>96</v>
      </c>
      <c r="B285" s="37" t="s">
        <v>82</v>
      </c>
      <c r="C285" s="37" t="s">
        <v>14</v>
      </c>
      <c r="D285" s="35">
        <v>61</v>
      </c>
      <c r="E285" s="35">
        <v>8000</v>
      </c>
      <c r="F285" s="35">
        <v>40</v>
      </c>
      <c r="G285" s="37">
        <v>2</v>
      </c>
      <c r="H285" s="33" t="s">
        <v>199</v>
      </c>
      <c r="I285" s="33">
        <v>2</v>
      </c>
      <c r="J285" s="33">
        <v>1</v>
      </c>
      <c r="K285" s="33" t="s">
        <v>275</v>
      </c>
      <c r="L285" s="33" t="s">
        <v>157</v>
      </c>
      <c r="M285" s="43" t="s">
        <v>313</v>
      </c>
      <c r="N285" s="35">
        <v>0</v>
      </c>
      <c r="O285" s="51">
        <v>8.3000000000000114</v>
      </c>
      <c r="P285" s="51">
        <v>8.3000000000000114</v>
      </c>
      <c r="Q285" s="64">
        <v>1</v>
      </c>
      <c r="R285" s="76">
        <v>2.5386842287694971</v>
      </c>
      <c r="S285" s="76">
        <v>2.5386842287694971</v>
      </c>
      <c r="T285" s="66">
        <v>2.4744482758620689</v>
      </c>
      <c r="U285" s="67">
        <f t="shared" si="12"/>
        <v>2.5065662523157828</v>
      </c>
      <c r="V285" s="66">
        <v>2.5130970807875079</v>
      </c>
    </row>
    <row r="286" spans="1:22">
      <c r="A286" s="33" t="s">
        <v>96</v>
      </c>
      <c r="B286" s="37" t="s">
        <v>82</v>
      </c>
      <c r="C286" s="37" t="s">
        <v>14</v>
      </c>
      <c r="D286" s="35">
        <v>61</v>
      </c>
      <c r="E286" s="35">
        <v>8000</v>
      </c>
      <c r="F286" s="35">
        <v>40</v>
      </c>
      <c r="G286" s="37">
        <v>2</v>
      </c>
      <c r="H286" s="33" t="s">
        <v>199</v>
      </c>
      <c r="I286" s="33">
        <v>3</v>
      </c>
      <c r="J286" s="33">
        <v>2</v>
      </c>
      <c r="K286" s="33" t="s">
        <v>276</v>
      </c>
      <c r="L286" s="33" t="s">
        <v>153</v>
      </c>
      <c r="M286" s="43" t="s">
        <v>208</v>
      </c>
      <c r="N286" s="35">
        <v>0.15640000000000001</v>
      </c>
      <c r="O286" s="51">
        <v>5.5099999999999909</v>
      </c>
      <c r="P286" s="51">
        <v>5.5099999999999909</v>
      </c>
      <c r="Q286" s="64">
        <v>1</v>
      </c>
      <c r="R286" s="76">
        <v>2.5516515641855451</v>
      </c>
      <c r="S286" s="76">
        <v>2.5516515641855451</v>
      </c>
      <c r="T286" s="66">
        <v>2.5109010863350489</v>
      </c>
      <c r="U286" s="67">
        <f t="shared" si="12"/>
        <v>2.531276325260297</v>
      </c>
      <c r="V286" s="66">
        <v>2.5403465753424661</v>
      </c>
    </row>
    <row r="287" spans="1:22">
      <c r="A287" s="33" t="s">
        <v>96</v>
      </c>
      <c r="B287" s="37" t="s">
        <v>82</v>
      </c>
      <c r="C287" s="37" t="s">
        <v>14</v>
      </c>
      <c r="D287" s="35">
        <v>61</v>
      </c>
      <c r="E287" s="35">
        <v>8000</v>
      </c>
      <c r="F287" s="35">
        <v>40</v>
      </c>
      <c r="G287" s="37">
        <v>2</v>
      </c>
      <c r="H287" s="33" t="s">
        <v>199</v>
      </c>
      <c r="I287" s="33">
        <v>4</v>
      </c>
      <c r="J287" s="33">
        <v>3</v>
      </c>
      <c r="K287" s="33" t="s">
        <v>276</v>
      </c>
      <c r="L287" s="33" t="s">
        <v>158</v>
      </c>
      <c r="M287" s="43" t="s">
        <v>208</v>
      </c>
      <c r="N287" s="35">
        <v>0</v>
      </c>
      <c r="O287" s="51">
        <v>2.79200000000003</v>
      </c>
      <c r="P287" s="51">
        <v>2.79200000000003</v>
      </c>
      <c r="Q287" s="64">
        <v>1</v>
      </c>
      <c r="R287" s="76">
        <v>2.619002123893805</v>
      </c>
      <c r="S287" s="76">
        <v>2.619002123893805</v>
      </c>
      <c r="T287" s="66">
        <v>2.5231158511083231</v>
      </c>
      <c r="U287" s="67">
        <f t="shared" si="12"/>
        <v>2.5710589875010639</v>
      </c>
      <c r="V287" s="66">
        <v>2.5859697282421741</v>
      </c>
    </row>
    <row r="288" spans="1:22">
      <c r="A288" s="33" t="s">
        <v>96</v>
      </c>
      <c r="B288" s="37" t="s">
        <v>82</v>
      </c>
      <c r="C288" s="37" t="s">
        <v>14</v>
      </c>
      <c r="D288" s="35">
        <v>61</v>
      </c>
      <c r="E288" s="35">
        <v>8000</v>
      </c>
      <c r="F288" s="35">
        <v>40</v>
      </c>
      <c r="G288" s="37">
        <v>2</v>
      </c>
      <c r="H288" s="33" t="s">
        <v>199</v>
      </c>
      <c r="I288" s="33">
        <v>5</v>
      </c>
      <c r="J288" s="33">
        <v>4</v>
      </c>
      <c r="K288" s="33" t="s">
        <v>275</v>
      </c>
      <c r="L288" s="33" t="s">
        <v>155</v>
      </c>
      <c r="M288" s="43" t="s">
        <v>208</v>
      </c>
      <c r="N288" s="35">
        <v>0</v>
      </c>
      <c r="O288" s="51">
        <v>2.2099999999999227</v>
      </c>
      <c r="P288" s="51">
        <v>2.2099999999999227</v>
      </c>
      <c r="Q288" s="64">
        <v>1</v>
      </c>
      <c r="R288" s="76">
        <v>2.556229624116114</v>
      </c>
      <c r="S288" s="76">
        <v>2.556229624116114</v>
      </c>
      <c r="T288" s="66">
        <v>2.5246674405107372</v>
      </c>
      <c r="U288" s="67">
        <f t="shared" si="12"/>
        <v>2.5404485323134258</v>
      </c>
      <c r="V288" s="66">
        <v>2.5446989849492478</v>
      </c>
    </row>
    <row r="289" spans="1:22">
      <c r="A289" s="33" t="s">
        <v>96</v>
      </c>
      <c r="B289" s="37" t="s">
        <v>82</v>
      </c>
      <c r="C289" s="37" t="s">
        <v>14</v>
      </c>
      <c r="D289" s="35">
        <v>61</v>
      </c>
      <c r="E289" s="35">
        <v>8000</v>
      </c>
      <c r="F289" s="35">
        <v>40</v>
      </c>
      <c r="G289" s="37">
        <v>2</v>
      </c>
      <c r="H289" s="33" t="s">
        <v>199</v>
      </c>
      <c r="I289" s="33">
        <v>6</v>
      </c>
      <c r="J289" s="33">
        <v>5</v>
      </c>
      <c r="K289" s="33" t="s">
        <v>275</v>
      </c>
      <c r="L289" s="33" t="s">
        <v>154</v>
      </c>
      <c r="M289" s="43" t="s">
        <v>208</v>
      </c>
      <c r="N289" s="35">
        <v>2.5999999999999999E-3</v>
      </c>
      <c r="O289" s="51">
        <v>1.3799999999998818</v>
      </c>
      <c r="P289" s="51">
        <v>1.3799999999998818</v>
      </c>
      <c r="Q289" s="64">
        <v>1</v>
      </c>
      <c r="R289" s="76">
        <v>2.5408404371584701</v>
      </c>
      <c r="S289" s="76">
        <v>2.5408404371584701</v>
      </c>
      <c r="T289" s="66">
        <v>2.5033579080025201</v>
      </c>
      <c r="U289" s="67">
        <f t="shared" si="12"/>
        <v>2.5220991725804951</v>
      </c>
      <c r="V289" s="66">
        <v>2.527178143199726</v>
      </c>
    </row>
    <row r="290" spans="1:22">
      <c r="A290" s="33" t="s">
        <v>96</v>
      </c>
      <c r="B290" s="37" t="s">
        <v>82</v>
      </c>
      <c r="C290" s="37" t="s">
        <v>21</v>
      </c>
      <c r="D290" s="35">
        <v>61</v>
      </c>
      <c r="E290" s="35">
        <v>8000</v>
      </c>
      <c r="F290" s="35">
        <v>40</v>
      </c>
      <c r="G290" s="37">
        <v>3</v>
      </c>
      <c r="H290" s="33" t="s">
        <v>194</v>
      </c>
      <c r="I290" s="33">
        <v>1</v>
      </c>
      <c r="J290" s="33">
        <v>1</v>
      </c>
      <c r="K290" s="33" t="s">
        <v>275</v>
      </c>
      <c r="L290" s="33" t="s">
        <v>153</v>
      </c>
      <c r="M290" s="43" t="s">
        <v>314</v>
      </c>
      <c r="N290" s="35">
        <v>0</v>
      </c>
      <c r="O290" s="51">
        <v>7.3530000000000086</v>
      </c>
      <c r="P290" s="51">
        <v>7.3530000000000086</v>
      </c>
      <c r="Q290" s="64">
        <v>1</v>
      </c>
      <c r="R290" s="76">
        <v>2.617948881789137</v>
      </c>
      <c r="S290" s="76">
        <v>2.617948881789137</v>
      </c>
      <c r="T290" s="66">
        <v>2.472240686632579</v>
      </c>
      <c r="U290" s="67">
        <f t="shared" si="12"/>
        <v>2.5450947842108578</v>
      </c>
      <c r="V290" s="66">
        <v>2.5562538035961269</v>
      </c>
    </row>
    <row r="291" spans="1:22">
      <c r="A291" s="33" t="s">
        <v>96</v>
      </c>
      <c r="B291" s="37" t="s">
        <v>82</v>
      </c>
      <c r="C291" s="37" t="s">
        <v>21</v>
      </c>
      <c r="D291" s="35">
        <v>61</v>
      </c>
      <c r="E291" s="35">
        <v>8000</v>
      </c>
      <c r="F291" s="35">
        <v>40</v>
      </c>
      <c r="G291" s="37">
        <v>3</v>
      </c>
      <c r="H291" s="33" t="s">
        <v>194</v>
      </c>
      <c r="I291" s="33">
        <v>2</v>
      </c>
      <c r="J291" s="33">
        <v>2</v>
      </c>
      <c r="K291" s="33" t="s">
        <v>276</v>
      </c>
      <c r="L291" s="33" t="s">
        <v>154</v>
      </c>
      <c r="M291" s="43" t="s">
        <v>314</v>
      </c>
      <c r="N291" s="35">
        <v>1.5E-3</v>
      </c>
      <c r="O291" s="51">
        <v>7.5359999999999445</v>
      </c>
      <c r="P291" s="51">
        <v>7.5359999999999445</v>
      </c>
      <c r="Q291" s="64">
        <v>1</v>
      </c>
      <c r="R291" s="76">
        <v>2.5306161971830989</v>
      </c>
      <c r="S291" s="76">
        <v>2.5306161971830989</v>
      </c>
      <c r="T291" s="66">
        <v>2.4291042760690171</v>
      </c>
      <c r="U291" s="67">
        <f t="shared" si="12"/>
        <v>2.4798602366260578</v>
      </c>
      <c r="V291" s="66">
        <v>2.4868417941585541</v>
      </c>
    </row>
    <row r="292" spans="1:22">
      <c r="A292" s="33" t="s">
        <v>96</v>
      </c>
      <c r="B292" s="37" t="s">
        <v>82</v>
      </c>
      <c r="C292" s="37" t="s">
        <v>21</v>
      </c>
      <c r="D292" s="35">
        <v>61</v>
      </c>
      <c r="E292" s="35">
        <v>8000</v>
      </c>
      <c r="F292" s="35">
        <v>40</v>
      </c>
      <c r="G292" s="37">
        <v>3</v>
      </c>
      <c r="H292" s="33" t="s">
        <v>194</v>
      </c>
      <c r="I292" s="33">
        <v>3</v>
      </c>
      <c r="J292" s="33">
        <v>3</v>
      </c>
      <c r="K292" s="33" t="s">
        <v>276</v>
      </c>
      <c r="L292" s="33" t="s">
        <v>155</v>
      </c>
      <c r="M292" s="43" t="s">
        <v>215</v>
      </c>
      <c r="N292" s="35">
        <v>0</v>
      </c>
      <c r="O292" s="51">
        <v>3.3089999999999691</v>
      </c>
      <c r="P292" s="51">
        <v>3.3089999999999691</v>
      </c>
      <c r="Q292" s="64">
        <v>1</v>
      </c>
      <c r="R292" s="76">
        <v>2.595844068989793</v>
      </c>
      <c r="S292" s="76">
        <v>2.595844068989793</v>
      </c>
      <c r="T292" s="66">
        <v>2.4897090909090909</v>
      </c>
      <c r="U292" s="67">
        <f t="shared" si="12"/>
        <v>2.5427765799494422</v>
      </c>
      <c r="V292" s="66">
        <v>2.5572570253598359</v>
      </c>
    </row>
    <row r="293" spans="1:22">
      <c r="A293" s="33" t="s">
        <v>96</v>
      </c>
      <c r="B293" s="37" t="s">
        <v>82</v>
      </c>
      <c r="C293" s="37" t="s">
        <v>21</v>
      </c>
      <c r="D293" s="35">
        <v>61</v>
      </c>
      <c r="E293" s="35">
        <v>8000</v>
      </c>
      <c r="F293" s="35">
        <v>40</v>
      </c>
      <c r="G293" s="37">
        <v>3</v>
      </c>
      <c r="H293" s="33" t="s">
        <v>194</v>
      </c>
      <c r="I293" s="33">
        <v>4</v>
      </c>
      <c r="J293" s="33"/>
      <c r="K293" s="33" t="s">
        <v>275</v>
      </c>
      <c r="L293" s="33" t="s">
        <v>156</v>
      </c>
      <c r="M293" s="43" t="s">
        <v>215</v>
      </c>
      <c r="N293" s="35"/>
      <c r="O293" s="51"/>
      <c r="P293" s="51"/>
      <c r="Q293" s="64"/>
      <c r="R293" s="76">
        <v>2.7919999999999998</v>
      </c>
      <c r="S293" s="76">
        <v>2.7919999999999998</v>
      </c>
      <c r="U293" s="67">
        <f t="shared" si="12"/>
        <v>2.7919999999999998</v>
      </c>
      <c r="V293" s="66">
        <v>2.7919999999999998</v>
      </c>
    </row>
    <row r="294" spans="1:22">
      <c r="A294" s="33" t="s">
        <v>96</v>
      </c>
      <c r="B294" s="37" t="s">
        <v>82</v>
      </c>
      <c r="C294" s="37" t="s">
        <v>21</v>
      </c>
      <c r="D294" s="35">
        <v>61</v>
      </c>
      <c r="E294" s="35">
        <v>8000</v>
      </c>
      <c r="F294" s="35">
        <v>40</v>
      </c>
      <c r="G294" s="37">
        <v>3</v>
      </c>
      <c r="H294" s="33" t="s">
        <v>194</v>
      </c>
      <c r="I294" s="33">
        <v>5</v>
      </c>
      <c r="J294" s="33">
        <v>4</v>
      </c>
      <c r="K294" s="33" t="s">
        <v>276</v>
      </c>
      <c r="L294" s="33" t="s">
        <v>157</v>
      </c>
      <c r="M294" s="43" t="s">
        <v>215</v>
      </c>
      <c r="N294" s="35">
        <v>0</v>
      </c>
      <c r="O294" s="51">
        <v>1.7449999999998909</v>
      </c>
      <c r="P294" s="51">
        <v>1.7449999999998909</v>
      </c>
      <c r="Q294" s="64">
        <v>1</v>
      </c>
      <c r="R294" s="76">
        <v>2.514922887323944</v>
      </c>
      <c r="S294" s="76">
        <v>2.514922887323944</v>
      </c>
      <c r="T294" s="66">
        <v>2.4097236131566029</v>
      </c>
      <c r="U294" s="67">
        <f t="shared" si="12"/>
        <v>2.4623232502402734</v>
      </c>
      <c r="V294" s="66">
        <v>2.4746119557705599</v>
      </c>
    </row>
    <row r="295" spans="1:22">
      <c r="A295" s="33" t="s">
        <v>96</v>
      </c>
      <c r="B295" s="37" t="s">
        <v>82</v>
      </c>
      <c r="C295" s="37" t="s">
        <v>21</v>
      </c>
      <c r="D295" s="35">
        <v>61</v>
      </c>
      <c r="E295" s="35">
        <v>8000</v>
      </c>
      <c r="F295" s="35">
        <v>40</v>
      </c>
      <c r="G295" s="37">
        <v>3</v>
      </c>
      <c r="H295" s="33" t="s">
        <v>194</v>
      </c>
      <c r="I295" s="33">
        <v>6</v>
      </c>
      <c r="J295" s="33">
        <v>5</v>
      </c>
      <c r="K295" s="33" t="s">
        <v>275</v>
      </c>
      <c r="L295" s="33" t="s">
        <v>158</v>
      </c>
      <c r="M295" s="43" t="s">
        <v>215</v>
      </c>
      <c r="N295" s="35">
        <v>0</v>
      </c>
      <c r="O295" s="51">
        <v>0.52999999999997272</v>
      </c>
      <c r="P295" s="51">
        <v>0.52999999999997272</v>
      </c>
      <c r="Q295" s="64">
        <v>1</v>
      </c>
      <c r="R295" s="76">
        <v>2.6096390449438198</v>
      </c>
      <c r="S295" s="76">
        <v>2.6096390449438198</v>
      </c>
      <c r="T295" s="66">
        <v>2.453330603127327</v>
      </c>
      <c r="U295" s="67">
        <f t="shared" si="12"/>
        <v>2.5314848240355734</v>
      </c>
      <c r="V295" s="66">
        <v>2.5486044827586212</v>
      </c>
    </row>
    <row r="296" spans="1:22">
      <c r="A296" s="33" t="s">
        <v>120</v>
      </c>
      <c r="B296" s="37" t="s">
        <v>65</v>
      </c>
      <c r="C296" s="37" t="s">
        <v>21</v>
      </c>
      <c r="D296" s="35">
        <v>38</v>
      </c>
      <c r="E296" s="35">
        <v>20000</v>
      </c>
      <c r="F296" s="35">
        <v>13</v>
      </c>
      <c r="G296" s="37">
        <v>1</v>
      </c>
      <c r="H296" s="33" t="s">
        <v>197</v>
      </c>
      <c r="I296" s="33">
        <v>1</v>
      </c>
      <c r="J296" s="33">
        <v>1</v>
      </c>
      <c r="K296" s="33" t="s">
        <v>275</v>
      </c>
      <c r="L296" s="33" t="s">
        <v>154</v>
      </c>
      <c r="M296" s="43" t="s">
        <v>348</v>
      </c>
      <c r="N296" s="35">
        <v>0</v>
      </c>
      <c r="O296" s="51">
        <v>3.0030000000000427</v>
      </c>
      <c r="P296" s="51">
        <v>3.0030000000000427</v>
      </c>
      <c r="Q296" s="64">
        <v>1</v>
      </c>
      <c r="R296" s="76">
        <v>2.7649976124154398</v>
      </c>
      <c r="S296" s="76">
        <v>2.7649976124154398</v>
      </c>
      <c r="T296" s="66">
        <v>2.8826140544518029</v>
      </c>
      <c r="U296" s="67">
        <f t="shared" si="12"/>
        <v>2.8238058334336213</v>
      </c>
      <c r="V296" s="66">
        <v>2.8159075975359338</v>
      </c>
    </row>
    <row r="297" spans="1:22">
      <c r="A297" s="33" t="s">
        <v>120</v>
      </c>
      <c r="B297" s="37" t="s">
        <v>65</v>
      </c>
      <c r="C297" s="37" t="s">
        <v>21</v>
      </c>
      <c r="D297" s="35">
        <v>38</v>
      </c>
      <c r="E297" s="35">
        <v>20000</v>
      </c>
      <c r="F297" s="35">
        <v>13</v>
      </c>
      <c r="G297" s="37">
        <v>1</v>
      </c>
      <c r="H297" s="33" t="s">
        <v>197</v>
      </c>
      <c r="I297" s="33">
        <v>2</v>
      </c>
      <c r="J297" s="33">
        <v>2</v>
      </c>
      <c r="K297" s="33" t="s">
        <v>276</v>
      </c>
      <c r="L297" s="33" t="s">
        <v>155</v>
      </c>
      <c r="M297" s="43" t="s">
        <v>348</v>
      </c>
      <c r="N297" s="35">
        <v>0</v>
      </c>
      <c r="O297" s="51" t="s">
        <v>395</v>
      </c>
      <c r="P297" s="51"/>
      <c r="Q297" s="64">
        <v>0</v>
      </c>
      <c r="R297" s="76">
        <v>2.7866482926829268</v>
      </c>
      <c r="S297" s="76">
        <v>2.7866482926829268</v>
      </c>
      <c r="T297" s="66">
        <v>2.9108360445205479</v>
      </c>
      <c r="U297" s="67">
        <f t="shared" si="12"/>
        <v>2.8487421686017376</v>
      </c>
      <c r="V297" s="66">
        <v>2.8542999228989978</v>
      </c>
    </row>
    <row r="298" spans="1:22">
      <c r="A298" s="33" t="s">
        <v>120</v>
      </c>
      <c r="B298" s="37" t="s">
        <v>65</v>
      </c>
      <c r="C298" s="37" t="s">
        <v>21</v>
      </c>
      <c r="D298" s="35">
        <v>38</v>
      </c>
      <c r="E298" s="35">
        <v>20000</v>
      </c>
      <c r="F298" s="35">
        <v>13</v>
      </c>
      <c r="G298" s="37">
        <v>1</v>
      </c>
      <c r="H298" s="33" t="s">
        <v>197</v>
      </c>
      <c r="I298" s="33">
        <v>3</v>
      </c>
      <c r="J298" s="33">
        <v>3</v>
      </c>
      <c r="K298" s="33" t="s">
        <v>275</v>
      </c>
      <c r="L298" s="33" t="s">
        <v>158</v>
      </c>
      <c r="M298" s="43" t="s">
        <v>348</v>
      </c>
      <c r="N298" s="35">
        <v>0</v>
      </c>
      <c r="O298" s="51">
        <v>2.8139999999999645</v>
      </c>
      <c r="P298" s="51">
        <v>2.8139999999999645</v>
      </c>
      <c r="Q298" s="64">
        <v>1</v>
      </c>
      <c r="R298" s="76">
        <v>2.7805397279885469</v>
      </c>
      <c r="S298" s="76">
        <v>2.7805397279885469</v>
      </c>
      <c r="T298" s="66">
        <v>2.94820050282841</v>
      </c>
      <c r="U298" s="67">
        <f t="shared" si="12"/>
        <v>2.8643701154084784</v>
      </c>
      <c r="V298" s="66">
        <v>2.88597528423134</v>
      </c>
    </row>
    <row r="299" spans="1:22">
      <c r="A299" s="33" t="s">
        <v>120</v>
      </c>
      <c r="B299" s="37" t="s">
        <v>65</v>
      </c>
      <c r="C299" s="37" t="s">
        <v>21</v>
      </c>
      <c r="D299" s="35">
        <v>38</v>
      </c>
      <c r="E299" s="35">
        <v>20000</v>
      </c>
      <c r="F299" s="35">
        <v>13</v>
      </c>
      <c r="G299" s="37">
        <v>1</v>
      </c>
      <c r="H299" s="33" t="s">
        <v>197</v>
      </c>
      <c r="I299" s="33">
        <v>4</v>
      </c>
      <c r="J299" s="33">
        <v>4</v>
      </c>
      <c r="K299" s="33" t="s">
        <v>276</v>
      </c>
      <c r="L299" s="33" t="s">
        <v>157</v>
      </c>
      <c r="M299" s="43" t="s">
        <v>348</v>
      </c>
      <c r="N299" s="35">
        <v>0</v>
      </c>
      <c r="O299" s="51">
        <v>2.2799999999999727</v>
      </c>
      <c r="P299" s="51">
        <v>2.2799999999999727</v>
      </c>
      <c r="Q299" s="64">
        <v>1</v>
      </c>
      <c r="R299" s="76">
        <v>2.9317945867568871</v>
      </c>
      <c r="S299" s="76">
        <v>2.9317945867568871</v>
      </c>
      <c r="T299" s="66">
        <v>2.9704076163610722</v>
      </c>
      <c r="U299" s="67">
        <f t="shared" si="12"/>
        <v>2.9511011015589794</v>
      </c>
      <c r="V299" s="66">
        <v>2.9614209478295499</v>
      </c>
    </row>
    <row r="300" spans="1:22">
      <c r="A300" s="33" t="s">
        <v>120</v>
      </c>
      <c r="B300" s="37" t="s">
        <v>65</v>
      </c>
      <c r="C300" s="37" t="s">
        <v>21</v>
      </c>
      <c r="D300" s="35">
        <v>38</v>
      </c>
      <c r="E300" s="35">
        <v>20000</v>
      </c>
      <c r="F300" s="35">
        <v>13</v>
      </c>
      <c r="G300" s="37">
        <v>1</v>
      </c>
      <c r="H300" s="33" t="s">
        <v>197</v>
      </c>
      <c r="I300" s="33">
        <v>5</v>
      </c>
      <c r="J300" s="33"/>
      <c r="K300" s="33" t="s">
        <v>276</v>
      </c>
      <c r="L300" s="33" t="s">
        <v>156</v>
      </c>
      <c r="M300" s="43" t="s">
        <v>348</v>
      </c>
      <c r="N300" s="35"/>
      <c r="O300" s="51"/>
      <c r="P300" s="51"/>
      <c r="Q300" s="64"/>
      <c r="R300" s="76">
        <v>3.996</v>
      </c>
      <c r="S300" s="76">
        <v>3.996</v>
      </c>
      <c r="T300" s="66">
        <v>4.1790000000000003</v>
      </c>
      <c r="U300" s="67">
        <f t="shared" si="12"/>
        <v>4.0875000000000004</v>
      </c>
      <c r="V300" s="66">
        <v>4.0880000000000001</v>
      </c>
    </row>
    <row r="301" spans="1:22">
      <c r="A301" s="33" t="s">
        <v>120</v>
      </c>
      <c r="B301" s="37" t="s">
        <v>65</v>
      </c>
      <c r="C301" s="37" t="s">
        <v>21</v>
      </c>
      <c r="D301" s="35">
        <v>38</v>
      </c>
      <c r="E301" s="35">
        <v>20000</v>
      </c>
      <c r="F301" s="35">
        <v>13</v>
      </c>
      <c r="G301" s="37">
        <v>1</v>
      </c>
      <c r="H301" s="33" t="s">
        <v>197</v>
      </c>
      <c r="I301" s="33">
        <v>6</v>
      </c>
      <c r="J301" s="33">
        <v>5</v>
      </c>
      <c r="K301" s="33" t="s">
        <v>275</v>
      </c>
      <c r="L301" s="33" t="s">
        <v>153</v>
      </c>
      <c r="M301" s="43" t="s">
        <v>348</v>
      </c>
      <c r="N301" s="35">
        <v>0</v>
      </c>
      <c r="O301" s="51" t="s">
        <v>394</v>
      </c>
      <c r="P301" s="51" t="s">
        <v>394</v>
      </c>
      <c r="Q301" s="64" t="s">
        <v>274</v>
      </c>
      <c r="R301" s="76">
        <v>2.9457112211221119</v>
      </c>
      <c r="S301" s="76">
        <v>2.9457112211221119</v>
      </c>
      <c r="T301" s="66">
        <v>3.0610851612903218</v>
      </c>
      <c r="U301" s="67">
        <f t="shared" si="12"/>
        <v>3.0033981912062169</v>
      </c>
      <c r="V301" s="66">
        <v>3.0031195713479981</v>
      </c>
    </row>
    <row r="302" spans="1:22">
      <c r="A302" s="33" t="s">
        <v>120</v>
      </c>
      <c r="B302" s="37" t="s">
        <v>65</v>
      </c>
      <c r="C302" s="37" t="s">
        <v>22</v>
      </c>
      <c r="D302" s="35">
        <v>38</v>
      </c>
      <c r="E302" s="35">
        <v>20000</v>
      </c>
      <c r="F302" s="35">
        <v>13</v>
      </c>
      <c r="G302" s="37">
        <v>2</v>
      </c>
      <c r="H302" s="33" t="s">
        <v>199</v>
      </c>
      <c r="I302" s="33">
        <v>1</v>
      </c>
      <c r="J302" s="33"/>
      <c r="K302" s="33" t="s">
        <v>276</v>
      </c>
      <c r="L302" s="33" t="s">
        <v>156</v>
      </c>
      <c r="M302" s="43" t="s">
        <v>349</v>
      </c>
      <c r="N302" s="35"/>
      <c r="O302" s="51"/>
      <c r="P302" s="51"/>
      <c r="Q302" s="64"/>
    </row>
    <row r="303" spans="1:22">
      <c r="A303" s="33" t="s">
        <v>120</v>
      </c>
      <c r="B303" s="37" t="s">
        <v>65</v>
      </c>
      <c r="C303" s="37" t="s">
        <v>22</v>
      </c>
      <c r="D303" s="35">
        <v>38</v>
      </c>
      <c r="E303" s="35">
        <v>20000</v>
      </c>
      <c r="F303" s="35">
        <v>13</v>
      </c>
      <c r="G303" s="37">
        <v>2</v>
      </c>
      <c r="H303" s="33" t="s">
        <v>199</v>
      </c>
      <c r="I303" s="33">
        <v>2</v>
      </c>
      <c r="J303" s="33">
        <v>1</v>
      </c>
      <c r="K303" s="33" t="s">
        <v>275</v>
      </c>
      <c r="L303" s="33" t="s">
        <v>157</v>
      </c>
      <c r="M303" s="48" t="s">
        <v>349</v>
      </c>
      <c r="N303" s="35">
        <v>0</v>
      </c>
      <c r="O303" s="51">
        <v>6.1200000000000045</v>
      </c>
      <c r="P303" s="51">
        <v>6.1200000000000045</v>
      </c>
      <c r="Q303" s="64">
        <v>1</v>
      </c>
      <c r="R303" s="76">
        <v>3.0658858447488591</v>
      </c>
      <c r="S303" s="76">
        <v>3.0658858447488591</v>
      </c>
      <c r="T303" s="66">
        <v>3.02136641221374</v>
      </c>
      <c r="U303" s="67">
        <f t="shared" ref="U303:U310" si="13">AVERAGE(S303:T303)</f>
        <v>3.0436261284812995</v>
      </c>
      <c r="V303" s="66">
        <v>3.0322190111420619</v>
      </c>
    </row>
    <row r="304" spans="1:22">
      <c r="A304" s="33" t="s">
        <v>120</v>
      </c>
      <c r="B304" s="37" t="s">
        <v>65</v>
      </c>
      <c r="C304" s="37" t="s">
        <v>22</v>
      </c>
      <c r="D304" s="35">
        <v>38</v>
      </c>
      <c r="E304" s="35">
        <v>20000</v>
      </c>
      <c r="F304" s="35">
        <v>13</v>
      </c>
      <c r="G304" s="37">
        <v>2</v>
      </c>
      <c r="H304" s="33" t="s">
        <v>199</v>
      </c>
      <c r="I304" s="33">
        <v>3</v>
      </c>
      <c r="J304" s="33">
        <v>2</v>
      </c>
      <c r="K304" s="33" t="s">
        <v>276</v>
      </c>
      <c r="L304" s="33" t="s">
        <v>153</v>
      </c>
      <c r="M304" s="43" t="s">
        <v>240</v>
      </c>
      <c r="N304" s="35">
        <v>0</v>
      </c>
      <c r="O304" s="51">
        <v>1.2659999999999627</v>
      </c>
      <c r="P304" s="51">
        <v>1.2659999999999627</v>
      </c>
      <c r="Q304" s="64">
        <v>1</v>
      </c>
      <c r="R304" s="76">
        <v>2.8080332741792371</v>
      </c>
      <c r="S304" s="76">
        <v>2.8080332741792371</v>
      </c>
      <c r="T304" s="66">
        <v>2.7547491776315791</v>
      </c>
      <c r="U304" s="67">
        <f t="shared" si="13"/>
        <v>2.7813912259054083</v>
      </c>
      <c r="V304" s="66">
        <v>2.780074850299401</v>
      </c>
    </row>
    <row r="305" spans="1:22">
      <c r="A305" s="33" t="s">
        <v>120</v>
      </c>
      <c r="B305" s="37" t="s">
        <v>65</v>
      </c>
      <c r="C305" s="37" t="s">
        <v>22</v>
      </c>
      <c r="D305" s="35">
        <v>38</v>
      </c>
      <c r="E305" s="35">
        <v>20000</v>
      </c>
      <c r="F305" s="35">
        <v>13</v>
      </c>
      <c r="G305" s="37">
        <v>2</v>
      </c>
      <c r="H305" s="33" t="s">
        <v>199</v>
      </c>
      <c r="I305" s="33">
        <v>4</v>
      </c>
      <c r="J305" s="33">
        <v>3</v>
      </c>
      <c r="K305" s="33" t="s">
        <v>276</v>
      </c>
      <c r="L305" s="33" t="s">
        <v>158</v>
      </c>
      <c r="M305" s="48" t="s">
        <v>240</v>
      </c>
      <c r="N305" s="35">
        <v>0</v>
      </c>
      <c r="O305" s="51">
        <v>3.6699999999999591</v>
      </c>
      <c r="P305" s="51">
        <v>3.6699999999999591</v>
      </c>
      <c r="Q305" s="64">
        <v>1</v>
      </c>
      <c r="R305" s="76">
        <v>2.7552754275427538</v>
      </c>
      <c r="S305" s="76">
        <v>2.7552754275427538</v>
      </c>
      <c r="T305" s="66">
        <v>2.7205855481727581</v>
      </c>
      <c r="U305" s="67">
        <f t="shared" si="13"/>
        <v>2.7379304878577559</v>
      </c>
      <c r="V305" s="66">
        <v>2.730385022692889</v>
      </c>
    </row>
    <row r="306" spans="1:22">
      <c r="A306" s="33" t="s">
        <v>120</v>
      </c>
      <c r="B306" s="37" t="s">
        <v>65</v>
      </c>
      <c r="C306" s="37" t="s">
        <v>22</v>
      </c>
      <c r="D306" s="35">
        <v>38</v>
      </c>
      <c r="E306" s="35">
        <v>20000</v>
      </c>
      <c r="F306" s="35">
        <v>13</v>
      </c>
      <c r="G306" s="37">
        <v>2</v>
      </c>
      <c r="H306" s="33" t="s">
        <v>199</v>
      </c>
      <c r="I306" s="33">
        <v>5</v>
      </c>
      <c r="J306" s="33">
        <v>4</v>
      </c>
      <c r="K306" s="33" t="s">
        <v>275</v>
      </c>
      <c r="L306" s="33" t="s">
        <v>155</v>
      </c>
      <c r="M306" s="43" t="s">
        <v>240</v>
      </c>
      <c r="N306" s="35">
        <v>0</v>
      </c>
      <c r="O306" s="51">
        <v>2.9600000000000364</v>
      </c>
      <c r="P306" s="51">
        <v>2.9600000000000364</v>
      </c>
      <c r="Q306" s="64">
        <v>1</v>
      </c>
      <c r="R306" s="76">
        <v>2.789541746641075</v>
      </c>
      <c r="S306" s="76">
        <v>2.789541746641075</v>
      </c>
      <c r="T306" s="66">
        <v>2.7231392841742128</v>
      </c>
      <c r="U306" s="67">
        <f t="shared" si="13"/>
        <v>2.7563405154076439</v>
      </c>
      <c r="V306" s="66">
        <v>2.7434976905311781</v>
      </c>
    </row>
    <row r="307" spans="1:22">
      <c r="A307" s="33" t="s">
        <v>120</v>
      </c>
      <c r="B307" s="37" t="s">
        <v>65</v>
      </c>
      <c r="C307" s="37" t="s">
        <v>22</v>
      </c>
      <c r="D307" s="35">
        <v>38</v>
      </c>
      <c r="E307" s="35">
        <v>20000</v>
      </c>
      <c r="F307" s="35">
        <v>13</v>
      </c>
      <c r="G307" s="37">
        <v>2</v>
      </c>
      <c r="H307" s="33" t="s">
        <v>199</v>
      </c>
      <c r="I307" s="33">
        <v>6</v>
      </c>
      <c r="J307" s="33">
        <v>5</v>
      </c>
      <c r="K307" s="33" t="s">
        <v>275</v>
      </c>
      <c r="L307" s="33" t="s">
        <v>154</v>
      </c>
      <c r="M307" s="48" t="s">
        <v>240</v>
      </c>
      <c r="N307" s="35">
        <v>0</v>
      </c>
      <c r="O307" s="51">
        <v>6.4900000000000091</v>
      </c>
      <c r="P307" s="51">
        <v>6.4900000000000091</v>
      </c>
      <c r="Q307" s="64">
        <v>1</v>
      </c>
      <c r="R307" s="76">
        <v>2.7531795685279188</v>
      </c>
      <c r="S307" s="76">
        <v>2.7531795685279188</v>
      </c>
      <c r="T307" s="66">
        <v>2.7143020787262269</v>
      </c>
      <c r="U307" s="67">
        <f t="shared" si="13"/>
        <v>2.7337408236270728</v>
      </c>
      <c r="V307" s="66">
        <v>2.7136390916463911</v>
      </c>
    </row>
    <row r="308" spans="1:22">
      <c r="A308" s="33" t="s">
        <v>120</v>
      </c>
      <c r="B308" s="37" t="s">
        <v>65</v>
      </c>
      <c r="C308" s="37" t="s">
        <v>14</v>
      </c>
      <c r="D308" s="35">
        <v>38</v>
      </c>
      <c r="E308" s="35">
        <v>20000</v>
      </c>
      <c r="F308" s="35">
        <v>13</v>
      </c>
      <c r="G308" s="37">
        <v>3</v>
      </c>
      <c r="H308" s="33" t="s">
        <v>194</v>
      </c>
      <c r="I308" s="33">
        <v>1</v>
      </c>
      <c r="J308" s="33">
        <v>1</v>
      </c>
      <c r="K308" s="33" t="s">
        <v>275</v>
      </c>
      <c r="L308" s="33" t="s">
        <v>153</v>
      </c>
      <c r="M308" s="48" t="s">
        <v>350</v>
      </c>
      <c r="N308" s="35">
        <v>0</v>
      </c>
      <c r="O308" s="51">
        <v>5.6000000000000227</v>
      </c>
      <c r="P308" s="51">
        <v>5.6000000000000227</v>
      </c>
      <c r="Q308" s="64">
        <v>1</v>
      </c>
      <c r="R308" s="76">
        <v>2.814655073649754</v>
      </c>
      <c r="S308" s="76">
        <v>2.814655073649754</v>
      </c>
      <c r="T308" s="66">
        <v>2.7835388513513508</v>
      </c>
      <c r="U308" s="67">
        <f t="shared" si="13"/>
        <v>2.7990969625005526</v>
      </c>
      <c r="V308" s="66">
        <v>2.7887471848892118</v>
      </c>
    </row>
    <row r="309" spans="1:22">
      <c r="A309" s="33" t="s">
        <v>120</v>
      </c>
      <c r="B309" s="37" t="s">
        <v>65</v>
      </c>
      <c r="C309" s="37" t="s">
        <v>14</v>
      </c>
      <c r="D309" s="35">
        <v>38</v>
      </c>
      <c r="E309" s="35">
        <v>20000</v>
      </c>
      <c r="F309" s="35">
        <v>13</v>
      </c>
      <c r="G309" s="37">
        <v>3</v>
      </c>
      <c r="H309" s="33" t="s">
        <v>194</v>
      </c>
      <c r="I309" s="33">
        <v>2</v>
      </c>
      <c r="J309" s="33">
        <v>2</v>
      </c>
      <c r="K309" s="33" t="s">
        <v>276</v>
      </c>
      <c r="L309" s="33" t="s">
        <v>154</v>
      </c>
      <c r="M309" s="43" t="s">
        <v>350</v>
      </c>
      <c r="N309" s="35">
        <v>0</v>
      </c>
      <c r="O309" s="51">
        <v>11.033999999999992</v>
      </c>
      <c r="P309" s="51">
        <v>11.033999999999992</v>
      </c>
      <c r="Q309" s="64">
        <v>1</v>
      </c>
      <c r="R309" s="76">
        <v>2.889745501285347</v>
      </c>
      <c r="S309" s="76">
        <v>2.889745501285347</v>
      </c>
      <c r="T309" s="66">
        <v>2.8915895872420259</v>
      </c>
      <c r="U309" s="67">
        <f t="shared" si="13"/>
        <v>2.8906675442636862</v>
      </c>
      <c r="V309" s="66">
        <v>2.8817688734030189</v>
      </c>
    </row>
    <row r="310" spans="1:22">
      <c r="A310" s="33" t="s">
        <v>120</v>
      </c>
      <c r="B310" s="37" t="s">
        <v>65</v>
      </c>
      <c r="C310" s="37" t="s">
        <v>14</v>
      </c>
      <c r="D310" s="35">
        <v>38</v>
      </c>
      <c r="E310" s="35">
        <v>20000</v>
      </c>
      <c r="F310" s="35">
        <v>13</v>
      </c>
      <c r="G310" s="37">
        <v>3</v>
      </c>
      <c r="H310" s="33" t="s">
        <v>194</v>
      </c>
      <c r="I310" s="33">
        <v>3</v>
      </c>
      <c r="J310" s="33">
        <v>3</v>
      </c>
      <c r="K310" s="33" t="s">
        <v>276</v>
      </c>
      <c r="L310" s="33" t="s">
        <v>155</v>
      </c>
      <c r="M310" s="48" t="s">
        <v>246</v>
      </c>
      <c r="N310" s="35">
        <v>0</v>
      </c>
      <c r="O310" s="51">
        <v>2.6190000000000282</v>
      </c>
      <c r="P310" s="51">
        <v>2.6190000000000282</v>
      </c>
      <c r="Q310" s="64">
        <v>1</v>
      </c>
      <c r="R310" s="76">
        <v>2.8442056220718381</v>
      </c>
      <c r="S310" s="76">
        <v>2.8442056220718381</v>
      </c>
      <c r="T310" s="66">
        <v>2.8465310790651421</v>
      </c>
      <c r="U310" s="67">
        <f t="shared" si="13"/>
        <v>2.8453683505684904</v>
      </c>
      <c r="V310" s="66">
        <v>2.8313981368975289</v>
      </c>
    </row>
    <row r="311" spans="1:22">
      <c r="A311" s="33" t="s">
        <v>120</v>
      </c>
      <c r="B311" s="37" t="s">
        <v>65</v>
      </c>
      <c r="C311" s="37" t="s">
        <v>14</v>
      </c>
      <c r="D311" s="35">
        <v>38</v>
      </c>
      <c r="E311" s="35">
        <v>20000</v>
      </c>
      <c r="F311" s="35">
        <v>13</v>
      </c>
      <c r="G311" s="37">
        <v>3</v>
      </c>
      <c r="H311" s="33" t="s">
        <v>194</v>
      </c>
      <c r="I311" s="33">
        <v>4</v>
      </c>
      <c r="J311" s="33"/>
      <c r="K311" s="33" t="s">
        <v>275</v>
      </c>
      <c r="L311" s="33" t="s">
        <v>156</v>
      </c>
      <c r="M311" s="43" t="s">
        <v>246</v>
      </c>
      <c r="N311" s="35"/>
      <c r="O311" s="51"/>
      <c r="P311" s="51"/>
      <c r="Q311" s="64"/>
    </row>
    <row r="312" spans="1:22">
      <c r="A312" s="33" t="s">
        <v>120</v>
      </c>
      <c r="B312" s="37" t="s">
        <v>65</v>
      </c>
      <c r="C312" s="37" t="s">
        <v>14</v>
      </c>
      <c r="D312" s="35">
        <v>38</v>
      </c>
      <c r="E312" s="35">
        <v>20000</v>
      </c>
      <c r="F312" s="35">
        <v>13</v>
      </c>
      <c r="G312" s="37">
        <v>3</v>
      </c>
      <c r="H312" s="33" t="s">
        <v>194</v>
      </c>
      <c r="I312" s="33">
        <v>5</v>
      </c>
      <c r="J312" s="33">
        <v>4</v>
      </c>
      <c r="K312" s="33" t="s">
        <v>276</v>
      </c>
      <c r="L312" s="33" t="s">
        <v>157</v>
      </c>
      <c r="M312" s="48" t="s">
        <v>246</v>
      </c>
      <c r="N312" s="35">
        <v>0</v>
      </c>
      <c r="O312" s="51">
        <v>4.0099999999999909</v>
      </c>
      <c r="P312" s="51">
        <v>4.0099999999999909</v>
      </c>
      <c r="Q312" s="64">
        <v>1</v>
      </c>
      <c r="R312" s="76">
        <v>2.907519250780437</v>
      </c>
      <c r="S312" s="76">
        <v>2.907519250780437</v>
      </c>
      <c r="T312" s="66">
        <v>2.8580669954788331</v>
      </c>
      <c r="U312" s="67">
        <f t="shared" ref="U312:U328" si="14">AVERAGE(S312:T312)</f>
        <v>2.8827931231296349</v>
      </c>
      <c r="V312" s="66">
        <v>2.8547499072356208</v>
      </c>
    </row>
    <row r="313" spans="1:22">
      <c r="A313" s="33" t="s">
        <v>120</v>
      </c>
      <c r="B313" s="37" t="s">
        <v>65</v>
      </c>
      <c r="C313" s="37" t="s">
        <v>14</v>
      </c>
      <c r="D313" s="35">
        <v>38</v>
      </c>
      <c r="E313" s="35">
        <v>20000</v>
      </c>
      <c r="F313" s="35">
        <v>13</v>
      </c>
      <c r="G313" s="37">
        <v>3</v>
      </c>
      <c r="H313" s="33" t="s">
        <v>194</v>
      </c>
      <c r="I313" s="33">
        <v>6</v>
      </c>
      <c r="J313" s="33">
        <v>5</v>
      </c>
      <c r="K313" s="33" t="s">
        <v>275</v>
      </c>
      <c r="L313" s="33" t="s">
        <v>158</v>
      </c>
      <c r="M313" s="43" t="s">
        <v>246</v>
      </c>
      <c r="N313" s="35">
        <v>0</v>
      </c>
      <c r="O313" s="51">
        <v>0.98000000000001819</v>
      </c>
      <c r="P313" s="51">
        <v>0.98000000000001819</v>
      </c>
      <c r="Q313" s="64">
        <v>1</v>
      </c>
      <c r="R313" s="76">
        <v>3.198518824989657</v>
      </c>
      <c r="S313" s="76">
        <v>3.198518824989657</v>
      </c>
      <c r="T313" s="66">
        <v>3.0742951625094479</v>
      </c>
      <c r="U313" s="67">
        <f t="shared" si="14"/>
        <v>3.1364069937495525</v>
      </c>
      <c r="V313" s="66">
        <v>3.1075907349355631</v>
      </c>
    </row>
    <row r="314" spans="1:22">
      <c r="A314" s="32" t="s">
        <v>97</v>
      </c>
      <c r="B314" s="35" t="s">
        <v>82</v>
      </c>
      <c r="C314" s="35" t="s">
        <v>14</v>
      </c>
      <c r="D314" s="35">
        <v>34</v>
      </c>
      <c r="E314" s="35">
        <v>10000</v>
      </c>
      <c r="F314" s="35">
        <v>16</v>
      </c>
      <c r="G314" s="35">
        <v>1</v>
      </c>
      <c r="H314" s="32" t="s">
        <v>197</v>
      </c>
      <c r="I314" s="32">
        <v>1</v>
      </c>
      <c r="J314" s="32">
        <v>1</v>
      </c>
      <c r="K314" s="32" t="s">
        <v>275</v>
      </c>
      <c r="L314" s="32" t="s">
        <v>154</v>
      </c>
      <c r="M314" s="42" t="s">
        <v>315</v>
      </c>
      <c r="N314" s="35">
        <v>0</v>
      </c>
      <c r="O314" s="51">
        <v>3.7150000000000034</v>
      </c>
      <c r="P314" s="51">
        <v>3.7150000000000034</v>
      </c>
      <c r="Q314" s="64">
        <v>1</v>
      </c>
      <c r="R314" s="76">
        <v>3.1658353923205338</v>
      </c>
      <c r="S314" s="76">
        <v>3.1658353923205338</v>
      </c>
      <c r="T314" s="66">
        <v>3.2881794529686461</v>
      </c>
      <c r="U314" s="67">
        <f t="shared" si="14"/>
        <v>3.22700742264459</v>
      </c>
      <c r="V314" s="66">
        <v>3.2264596935376408</v>
      </c>
    </row>
    <row r="315" spans="1:22">
      <c r="A315" s="32" t="s">
        <v>97</v>
      </c>
      <c r="B315" s="35" t="s">
        <v>82</v>
      </c>
      <c r="C315" s="35" t="s">
        <v>14</v>
      </c>
      <c r="D315" s="35">
        <v>34</v>
      </c>
      <c r="E315" s="35">
        <v>10000</v>
      </c>
      <c r="F315" s="35">
        <v>16</v>
      </c>
      <c r="G315" s="35">
        <v>1</v>
      </c>
      <c r="H315" s="32" t="s">
        <v>197</v>
      </c>
      <c r="I315" s="32">
        <v>2</v>
      </c>
      <c r="J315" s="32">
        <v>2</v>
      </c>
      <c r="K315" s="32" t="s">
        <v>276</v>
      </c>
      <c r="L315" s="32" t="s">
        <v>155</v>
      </c>
      <c r="M315" s="42" t="s">
        <v>315</v>
      </c>
      <c r="N315" s="35">
        <v>0</v>
      </c>
      <c r="O315" s="51">
        <v>3.1740000000000919</v>
      </c>
      <c r="P315" s="51">
        <v>3.1740000000000919</v>
      </c>
      <c r="Q315" s="64">
        <v>1</v>
      </c>
      <c r="R315" s="76">
        <v>3.034481657608695</v>
      </c>
      <c r="S315" s="76">
        <v>3.034481657608695</v>
      </c>
      <c r="T315" s="66">
        <v>3.1576585948158251</v>
      </c>
      <c r="U315" s="67">
        <f t="shared" si="14"/>
        <v>3.0960701262122603</v>
      </c>
      <c r="V315" s="66">
        <v>3.0980393145161291</v>
      </c>
    </row>
    <row r="316" spans="1:22">
      <c r="A316" s="32" t="s">
        <v>97</v>
      </c>
      <c r="B316" s="35" t="s">
        <v>82</v>
      </c>
      <c r="C316" s="35" t="s">
        <v>14</v>
      </c>
      <c r="D316" s="35">
        <v>34</v>
      </c>
      <c r="E316" s="35">
        <v>10000</v>
      </c>
      <c r="F316" s="35">
        <v>16</v>
      </c>
      <c r="G316" s="35">
        <v>1</v>
      </c>
      <c r="H316" s="32" t="s">
        <v>197</v>
      </c>
      <c r="I316" s="32">
        <v>3</v>
      </c>
      <c r="J316" s="32">
        <v>3</v>
      </c>
      <c r="K316" s="32" t="s">
        <v>275</v>
      </c>
      <c r="L316" s="32" t="s">
        <v>158</v>
      </c>
      <c r="M316" s="42" t="s">
        <v>315</v>
      </c>
      <c r="N316" s="35">
        <v>0</v>
      </c>
      <c r="O316" s="51">
        <v>2.4800000000000182</v>
      </c>
      <c r="P316" s="51">
        <v>2.4800000000000182</v>
      </c>
      <c r="Q316" s="64">
        <v>1</v>
      </c>
      <c r="R316" s="76">
        <v>3.0884915597569211</v>
      </c>
      <c r="S316" s="76">
        <v>3.0884915597569211</v>
      </c>
      <c r="T316" s="66">
        <v>3.2381118598382752</v>
      </c>
      <c r="U316" s="67">
        <f t="shared" si="14"/>
        <v>3.1633017097975982</v>
      </c>
      <c r="V316" s="66">
        <v>3.16849966688874</v>
      </c>
    </row>
    <row r="317" spans="1:22">
      <c r="A317" s="32" t="s">
        <v>97</v>
      </c>
      <c r="B317" s="35" t="s">
        <v>82</v>
      </c>
      <c r="C317" s="35" t="s">
        <v>14</v>
      </c>
      <c r="D317" s="35">
        <v>34</v>
      </c>
      <c r="E317" s="35">
        <v>10000</v>
      </c>
      <c r="F317" s="35">
        <v>16</v>
      </c>
      <c r="G317" s="35">
        <v>1</v>
      </c>
      <c r="H317" s="32" t="s">
        <v>197</v>
      </c>
      <c r="I317" s="32">
        <v>4</v>
      </c>
      <c r="J317" s="32">
        <v>4</v>
      </c>
      <c r="K317" s="32" t="s">
        <v>276</v>
      </c>
      <c r="L317" s="32" t="s">
        <v>157</v>
      </c>
      <c r="M317" s="42" t="s">
        <v>315</v>
      </c>
      <c r="N317" s="35">
        <v>0</v>
      </c>
      <c r="O317" s="51">
        <v>1.5670000000000073</v>
      </c>
      <c r="P317" s="51">
        <v>1.5670000000000073</v>
      </c>
      <c r="Q317" s="64">
        <v>1</v>
      </c>
      <c r="R317" s="76">
        <v>3.1202092307692308</v>
      </c>
      <c r="S317" s="76">
        <v>3.1202092307692308</v>
      </c>
      <c r="T317" s="66">
        <v>3.3278448217317491</v>
      </c>
      <c r="U317" s="67">
        <f t="shared" si="14"/>
        <v>3.2240270262504902</v>
      </c>
      <c r="V317" s="66">
        <v>3.2281740294511381</v>
      </c>
    </row>
    <row r="318" spans="1:22">
      <c r="A318" s="32" t="s">
        <v>97</v>
      </c>
      <c r="B318" s="35" t="s">
        <v>82</v>
      </c>
      <c r="C318" s="35" t="s">
        <v>14</v>
      </c>
      <c r="D318" s="35">
        <v>34</v>
      </c>
      <c r="E318" s="35">
        <v>10000</v>
      </c>
      <c r="F318" s="35">
        <v>16</v>
      </c>
      <c r="G318" s="35">
        <v>1</v>
      </c>
      <c r="H318" s="32" t="s">
        <v>197</v>
      </c>
      <c r="I318" s="32">
        <v>5</v>
      </c>
      <c r="K318" s="32" t="s">
        <v>276</v>
      </c>
      <c r="L318" s="32" t="s">
        <v>156</v>
      </c>
      <c r="M318" s="42" t="s">
        <v>315</v>
      </c>
      <c r="N318" s="35"/>
      <c r="O318" s="51"/>
      <c r="P318" s="51"/>
      <c r="Q318" s="64"/>
      <c r="R318" s="76">
        <v>3.9350000000000001</v>
      </c>
      <c r="S318" s="76">
        <v>3.9350000000000001</v>
      </c>
      <c r="T318" s="66">
        <v>4.1760000000000002</v>
      </c>
      <c r="U318" s="67">
        <f t="shared" si="14"/>
        <v>4.0555000000000003</v>
      </c>
      <c r="V318" s="66">
        <v>4.0549999999999997</v>
      </c>
    </row>
    <row r="319" spans="1:22">
      <c r="A319" s="32" t="s">
        <v>97</v>
      </c>
      <c r="B319" s="35" t="s">
        <v>82</v>
      </c>
      <c r="C319" s="35" t="s">
        <v>14</v>
      </c>
      <c r="D319" s="35">
        <v>34</v>
      </c>
      <c r="E319" s="35">
        <v>10000</v>
      </c>
      <c r="F319" s="35">
        <v>16</v>
      </c>
      <c r="G319" s="35">
        <v>1</v>
      </c>
      <c r="H319" s="32" t="s">
        <v>197</v>
      </c>
      <c r="I319" s="32">
        <v>6</v>
      </c>
      <c r="J319" s="32">
        <v>5</v>
      </c>
      <c r="K319" s="32" t="s">
        <v>275</v>
      </c>
      <c r="L319" s="32" t="s">
        <v>153</v>
      </c>
      <c r="M319" s="42" t="s">
        <v>315</v>
      </c>
      <c r="N319" s="35">
        <v>0</v>
      </c>
      <c r="O319" s="51">
        <v>4.7580000000000382</v>
      </c>
      <c r="P319" s="51">
        <v>4.7580000000000382</v>
      </c>
      <c r="Q319" s="64">
        <v>1</v>
      </c>
      <c r="R319" s="76">
        <v>2.9683192455466298</v>
      </c>
      <c r="S319" s="76">
        <v>2.9683192455466298</v>
      </c>
      <c r="T319" s="66">
        <v>3.178068917507832</v>
      </c>
      <c r="U319" s="67">
        <f t="shared" si="14"/>
        <v>3.0731940815272312</v>
      </c>
      <c r="V319" s="66">
        <v>3.0799578911331742</v>
      </c>
    </row>
    <row r="320" spans="1:22">
      <c r="A320" s="32" t="s">
        <v>97</v>
      </c>
      <c r="B320" s="35" t="s">
        <v>82</v>
      </c>
      <c r="C320" s="35" t="s">
        <v>22</v>
      </c>
      <c r="D320" s="35">
        <v>34</v>
      </c>
      <c r="E320" s="35">
        <v>10000</v>
      </c>
      <c r="F320" s="35">
        <v>16</v>
      </c>
      <c r="G320" s="35">
        <v>2</v>
      </c>
      <c r="H320" s="32" t="s">
        <v>199</v>
      </c>
      <c r="I320" s="32">
        <v>1</v>
      </c>
      <c r="K320" s="32" t="s">
        <v>276</v>
      </c>
      <c r="L320" s="32" t="s">
        <v>156</v>
      </c>
      <c r="M320" s="42" t="s">
        <v>316</v>
      </c>
      <c r="N320" s="35"/>
      <c r="O320" s="51"/>
      <c r="P320" s="51"/>
      <c r="Q320" s="64"/>
      <c r="R320" s="76">
        <v>3.6070000000000002</v>
      </c>
      <c r="S320" s="76">
        <v>3.6070000000000002</v>
      </c>
      <c r="T320" s="66">
        <v>3.944</v>
      </c>
      <c r="U320" s="67">
        <f t="shared" si="14"/>
        <v>3.7755000000000001</v>
      </c>
      <c r="V320" s="66">
        <v>3.7759999999999998</v>
      </c>
    </row>
    <row r="321" spans="1:22">
      <c r="A321" s="32" t="s">
        <v>97</v>
      </c>
      <c r="B321" s="35" t="s">
        <v>82</v>
      </c>
      <c r="C321" s="35" t="s">
        <v>22</v>
      </c>
      <c r="D321" s="35">
        <v>34</v>
      </c>
      <c r="E321" s="35">
        <v>10000</v>
      </c>
      <c r="F321" s="35">
        <v>16</v>
      </c>
      <c r="G321" s="35">
        <v>2</v>
      </c>
      <c r="H321" s="32" t="s">
        <v>199</v>
      </c>
      <c r="I321" s="32">
        <v>2</v>
      </c>
      <c r="J321" s="32">
        <v>1</v>
      </c>
      <c r="K321" s="32" t="s">
        <v>275</v>
      </c>
      <c r="L321" s="32" t="s">
        <v>157</v>
      </c>
      <c r="M321" s="42" t="s">
        <v>316</v>
      </c>
      <c r="N321" s="35">
        <v>0</v>
      </c>
      <c r="O321" s="51">
        <v>3.0099999999999909</v>
      </c>
      <c r="P321" s="51">
        <v>3.0099999999999909</v>
      </c>
      <c r="Q321" s="64">
        <v>1</v>
      </c>
      <c r="R321" s="76">
        <v>3.1326550330639229</v>
      </c>
      <c r="S321" s="76">
        <v>3.1326550330639229</v>
      </c>
      <c r="T321" s="66">
        <v>3.350894549340933</v>
      </c>
      <c r="U321" s="67">
        <f t="shared" si="14"/>
        <v>3.241774791202428</v>
      </c>
      <c r="V321" s="66">
        <v>3.2577091035926049</v>
      </c>
    </row>
    <row r="322" spans="1:22">
      <c r="A322" s="32" t="s">
        <v>97</v>
      </c>
      <c r="B322" s="35" t="s">
        <v>82</v>
      </c>
      <c r="C322" s="35" t="s">
        <v>22</v>
      </c>
      <c r="D322" s="35">
        <v>34</v>
      </c>
      <c r="E322" s="35">
        <v>10000</v>
      </c>
      <c r="F322" s="35">
        <v>16</v>
      </c>
      <c r="G322" s="35">
        <v>2</v>
      </c>
      <c r="H322" s="32" t="s">
        <v>199</v>
      </c>
      <c r="I322" s="32">
        <v>3</v>
      </c>
      <c r="J322" s="32">
        <v>2</v>
      </c>
      <c r="K322" s="32" t="s">
        <v>276</v>
      </c>
      <c r="L322" s="32" t="s">
        <v>153</v>
      </c>
      <c r="M322" s="42" t="s">
        <v>229</v>
      </c>
      <c r="N322" s="35">
        <v>0</v>
      </c>
      <c r="O322" s="51">
        <v>3.8500000000000227</v>
      </c>
      <c r="P322" s="51">
        <v>3.8500000000000227</v>
      </c>
      <c r="Q322" s="64">
        <v>1</v>
      </c>
      <c r="R322" s="76">
        <v>3.035750879662209</v>
      </c>
      <c r="S322" s="76">
        <v>3.035750879662209</v>
      </c>
      <c r="T322" s="66">
        <v>3.2355618055555562</v>
      </c>
      <c r="U322" s="67">
        <f t="shared" si="14"/>
        <v>3.1356563426088826</v>
      </c>
      <c r="V322" s="66">
        <v>3.142554118447924</v>
      </c>
    </row>
    <row r="323" spans="1:22">
      <c r="A323" s="32" t="s">
        <v>97</v>
      </c>
      <c r="B323" s="35" t="s">
        <v>82</v>
      </c>
      <c r="C323" s="35" t="s">
        <v>22</v>
      </c>
      <c r="D323" s="35">
        <v>34</v>
      </c>
      <c r="E323" s="35">
        <v>10000</v>
      </c>
      <c r="F323" s="35">
        <v>16</v>
      </c>
      <c r="G323" s="35">
        <v>2</v>
      </c>
      <c r="H323" s="32" t="s">
        <v>199</v>
      </c>
      <c r="I323" s="32">
        <v>4</v>
      </c>
      <c r="J323" s="32">
        <v>3</v>
      </c>
      <c r="K323" s="32" t="s">
        <v>276</v>
      </c>
      <c r="L323" s="32" t="s">
        <v>158</v>
      </c>
      <c r="M323" s="42" t="s">
        <v>229</v>
      </c>
      <c r="N323" s="35">
        <v>6.9999999999999999E-4</v>
      </c>
      <c r="O323" s="51">
        <v>1.0399999999999636</v>
      </c>
      <c r="P323" s="51">
        <v>1.0399999999999636</v>
      </c>
      <c r="Q323" s="64">
        <v>1</v>
      </c>
      <c r="R323" s="76">
        <v>2.9471442063203779</v>
      </c>
      <c r="S323" s="76">
        <v>2.9471442063203779</v>
      </c>
      <c r="T323" s="66">
        <v>3.147295214637579</v>
      </c>
      <c r="U323" s="67">
        <f t="shared" si="14"/>
        <v>3.0472197104789784</v>
      </c>
      <c r="V323" s="66">
        <v>3.0594629244629248</v>
      </c>
    </row>
    <row r="324" spans="1:22">
      <c r="A324" s="32" t="s">
        <v>97</v>
      </c>
      <c r="B324" s="35" t="s">
        <v>82</v>
      </c>
      <c r="C324" s="35" t="s">
        <v>22</v>
      </c>
      <c r="D324" s="35">
        <v>34</v>
      </c>
      <c r="E324" s="35">
        <v>10000</v>
      </c>
      <c r="F324" s="35">
        <v>16</v>
      </c>
      <c r="G324" s="35">
        <v>2</v>
      </c>
      <c r="H324" s="32" t="s">
        <v>199</v>
      </c>
      <c r="I324" s="32">
        <v>5</v>
      </c>
      <c r="J324" s="32">
        <v>4</v>
      </c>
      <c r="K324" s="32" t="s">
        <v>275</v>
      </c>
      <c r="L324" s="32" t="s">
        <v>155</v>
      </c>
      <c r="M324" s="42" t="s">
        <v>229</v>
      </c>
      <c r="N324" s="35">
        <v>0</v>
      </c>
      <c r="O324" s="51">
        <v>3.1699999999999591</v>
      </c>
      <c r="P324" s="51">
        <v>3.1699999999999591</v>
      </c>
      <c r="Q324" s="64">
        <v>1</v>
      </c>
      <c r="R324" s="76">
        <v>3.0157058212058221</v>
      </c>
      <c r="S324" s="76">
        <v>3.0157058212058221</v>
      </c>
      <c r="T324" s="66">
        <v>3.2361468144044321</v>
      </c>
      <c r="U324" s="67">
        <f t="shared" si="14"/>
        <v>3.1259263178051269</v>
      </c>
      <c r="V324" s="66">
        <v>3.126366153846154</v>
      </c>
    </row>
    <row r="325" spans="1:22">
      <c r="A325" s="32" t="s">
        <v>97</v>
      </c>
      <c r="B325" s="35" t="s">
        <v>82</v>
      </c>
      <c r="C325" s="35" t="s">
        <v>22</v>
      </c>
      <c r="D325" s="35">
        <v>34</v>
      </c>
      <c r="E325" s="35">
        <v>10000</v>
      </c>
      <c r="F325" s="35">
        <v>16</v>
      </c>
      <c r="G325" s="35">
        <v>2</v>
      </c>
      <c r="H325" s="32" t="s">
        <v>199</v>
      </c>
      <c r="I325" s="32">
        <v>6</v>
      </c>
      <c r="J325" s="32">
        <v>5</v>
      </c>
      <c r="K325" s="32" t="s">
        <v>275</v>
      </c>
      <c r="L325" s="32" t="s">
        <v>154</v>
      </c>
      <c r="M325" s="42" t="s">
        <v>229</v>
      </c>
      <c r="N325" s="35">
        <v>0</v>
      </c>
      <c r="O325" s="51">
        <v>2.6899999999998272</v>
      </c>
      <c r="P325" s="51">
        <v>2.6899999999998272</v>
      </c>
      <c r="Q325" s="64">
        <v>1</v>
      </c>
      <c r="R325" s="76">
        <v>3.0579215411558671</v>
      </c>
      <c r="S325" s="76">
        <v>3.0579215411558671</v>
      </c>
      <c r="T325" s="66">
        <v>3.25</v>
      </c>
      <c r="U325" s="67">
        <f t="shared" si="14"/>
        <v>3.1539607705779336</v>
      </c>
      <c r="V325" s="66">
        <v>3.158087606112054</v>
      </c>
    </row>
    <row r="326" spans="1:22">
      <c r="A326" s="32" t="s">
        <v>97</v>
      </c>
      <c r="B326" s="35" t="s">
        <v>82</v>
      </c>
      <c r="C326" s="35" t="s">
        <v>21</v>
      </c>
      <c r="D326" s="35">
        <v>34</v>
      </c>
      <c r="E326" s="35">
        <v>10000</v>
      </c>
      <c r="F326" s="35">
        <v>16</v>
      </c>
      <c r="G326" s="35">
        <v>3</v>
      </c>
      <c r="H326" s="32" t="s">
        <v>194</v>
      </c>
      <c r="I326" s="32">
        <v>1</v>
      </c>
      <c r="J326" s="32">
        <v>1</v>
      </c>
      <c r="K326" s="32" t="s">
        <v>275</v>
      </c>
      <c r="L326" s="32" t="s">
        <v>153</v>
      </c>
      <c r="M326" s="42" t="s">
        <v>317</v>
      </c>
      <c r="N326" s="35">
        <v>0</v>
      </c>
      <c r="O326" s="51">
        <v>2.9059999999999775</v>
      </c>
      <c r="P326" s="51">
        <v>2.9059999999999775</v>
      </c>
      <c r="Q326" s="64">
        <v>1</v>
      </c>
      <c r="R326" s="76">
        <v>3.1896737948532081</v>
      </c>
      <c r="S326" s="76">
        <v>3.1896737948532081</v>
      </c>
      <c r="T326" s="66">
        <v>3.4097112299465242</v>
      </c>
      <c r="U326" s="67">
        <f t="shared" si="14"/>
        <v>3.2996925123998659</v>
      </c>
      <c r="V326" s="66">
        <v>3.3031069930069932</v>
      </c>
    </row>
    <row r="327" spans="1:22">
      <c r="A327" s="32" t="s">
        <v>97</v>
      </c>
      <c r="B327" s="35" t="s">
        <v>82</v>
      </c>
      <c r="C327" s="35" t="s">
        <v>21</v>
      </c>
      <c r="D327" s="35">
        <v>34</v>
      </c>
      <c r="E327" s="35">
        <v>10000</v>
      </c>
      <c r="F327" s="35">
        <v>16</v>
      </c>
      <c r="G327" s="35">
        <v>3</v>
      </c>
      <c r="H327" s="32" t="s">
        <v>194</v>
      </c>
      <c r="I327" s="32">
        <v>2</v>
      </c>
      <c r="J327" s="32">
        <v>2</v>
      </c>
      <c r="K327" s="32" t="s">
        <v>276</v>
      </c>
      <c r="L327" s="32" t="s">
        <v>154</v>
      </c>
      <c r="M327" s="42" t="s">
        <v>317</v>
      </c>
      <c r="N327" s="35">
        <v>0</v>
      </c>
      <c r="O327" s="51">
        <v>3.2420000000000755</v>
      </c>
      <c r="P327" s="51">
        <v>3.2420000000000755</v>
      </c>
      <c r="Q327" s="64">
        <v>1</v>
      </c>
      <c r="R327" s="76">
        <v>2.9720244956772341</v>
      </c>
      <c r="S327" s="76">
        <v>2.9720244956772341</v>
      </c>
      <c r="T327" s="66">
        <v>3.179040157762639</v>
      </c>
      <c r="U327" s="67">
        <f t="shared" si="14"/>
        <v>3.0755323267199364</v>
      </c>
      <c r="V327" s="66">
        <v>3.0856386732533529</v>
      </c>
    </row>
    <row r="328" spans="1:22">
      <c r="A328" s="32" t="s">
        <v>97</v>
      </c>
      <c r="B328" s="35" t="s">
        <v>82</v>
      </c>
      <c r="C328" s="35" t="s">
        <v>21</v>
      </c>
      <c r="D328" s="35">
        <v>34</v>
      </c>
      <c r="E328" s="35">
        <v>10000</v>
      </c>
      <c r="F328" s="35">
        <v>16</v>
      </c>
      <c r="G328" s="35">
        <v>3</v>
      </c>
      <c r="H328" s="32" t="s">
        <v>194</v>
      </c>
      <c r="I328" s="32">
        <v>3</v>
      </c>
      <c r="J328" s="32">
        <v>3</v>
      </c>
      <c r="K328" s="32" t="s">
        <v>276</v>
      </c>
      <c r="L328" s="32" t="s">
        <v>155</v>
      </c>
      <c r="M328" s="42" t="s">
        <v>233</v>
      </c>
      <c r="N328" s="35">
        <v>0</v>
      </c>
      <c r="O328" s="51">
        <v>0.22599999999999909</v>
      </c>
      <c r="P328" s="51">
        <v>0.22599999999999909</v>
      </c>
      <c r="Q328" s="64">
        <v>1</v>
      </c>
      <c r="R328" s="76">
        <v>2.9116681034482759</v>
      </c>
      <c r="S328" s="76">
        <v>2.9116681034482759</v>
      </c>
      <c r="T328" s="66">
        <v>3.0761646297627609</v>
      </c>
      <c r="U328" s="67">
        <f t="shared" si="14"/>
        <v>2.9939163666055184</v>
      </c>
      <c r="V328" s="66">
        <v>3.0061609961417042</v>
      </c>
    </row>
    <row r="329" spans="1:22">
      <c r="A329" s="32" t="s">
        <v>97</v>
      </c>
      <c r="B329" s="35" t="s">
        <v>82</v>
      </c>
      <c r="C329" s="35" t="s">
        <v>21</v>
      </c>
      <c r="D329" s="35">
        <v>34</v>
      </c>
      <c r="E329" s="35">
        <v>10000</v>
      </c>
      <c r="F329" s="35">
        <v>16</v>
      </c>
      <c r="G329" s="35">
        <v>3</v>
      </c>
      <c r="H329" s="32" t="s">
        <v>194</v>
      </c>
      <c r="I329" s="32">
        <v>4</v>
      </c>
      <c r="K329" s="32" t="s">
        <v>275</v>
      </c>
      <c r="L329" s="32" t="s">
        <v>156</v>
      </c>
      <c r="M329" s="42" t="s">
        <v>233</v>
      </c>
      <c r="N329" s="35"/>
      <c r="O329" s="51"/>
      <c r="P329" s="51"/>
      <c r="Q329" s="64"/>
    </row>
    <row r="330" spans="1:22">
      <c r="A330" s="32" t="s">
        <v>97</v>
      </c>
      <c r="B330" s="35" t="s">
        <v>82</v>
      </c>
      <c r="C330" s="35" t="s">
        <v>21</v>
      </c>
      <c r="D330" s="35">
        <v>34</v>
      </c>
      <c r="E330" s="35">
        <v>10000</v>
      </c>
      <c r="F330" s="35">
        <v>16</v>
      </c>
      <c r="G330" s="35">
        <v>3</v>
      </c>
      <c r="H330" s="32" t="s">
        <v>194</v>
      </c>
      <c r="I330" s="32">
        <v>5</v>
      </c>
      <c r="J330" s="32">
        <v>4</v>
      </c>
      <c r="K330" s="32" t="s">
        <v>276</v>
      </c>
      <c r="L330" s="32" t="s">
        <v>157</v>
      </c>
      <c r="M330" s="42" t="s">
        <v>233</v>
      </c>
      <c r="N330" s="35">
        <v>5.2600000000000001E-2</v>
      </c>
      <c r="O330" s="51">
        <v>1.1380000000001473</v>
      </c>
      <c r="P330" s="51">
        <v>1.1380000000001473</v>
      </c>
      <c r="Q330" s="64">
        <v>1</v>
      </c>
      <c r="R330" s="76">
        <v>2.9419132847728058</v>
      </c>
      <c r="S330" s="76">
        <v>2.9419132847728058</v>
      </c>
      <c r="T330" s="66">
        <v>3.1694686536485102</v>
      </c>
      <c r="U330" s="67">
        <f t="shared" ref="U330:U340" si="15">AVERAGE(S330:T330)</f>
        <v>3.0556909692106577</v>
      </c>
      <c r="V330" s="66">
        <v>3.0675504742547419</v>
      </c>
    </row>
    <row r="331" spans="1:22">
      <c r="A331" s="32" t="s">
        <v>97</v>
      </c>
      <c r="B331" s="35" t="s">
        <v>82</v>
      </c>
      <c r="C331" s="35" t="s">
        <v>21</v>
      </c>
      <c r="D331" s="35">
        <v>34</v>
      </c>
      <c r="E331" s="35">
        <v>10000</v>
      </c>
      <c r="F331" s="35">
        <v>16</v>
      </c>
      <c r="G331" s="35">
        <v>3</v>
      </c>
      <c r="H331" s="32" t="s">
        <v>194</v>
      </c>
      <c r="I331" s="32">
        <v>6</v>
      </c>
      <c r="J331" s="32">
        <v>5</v>
      </c>
      <c r="K331" s="32" t="s">
        <v>275</v>
      </c>
      <c r="L331" s="32" t="s">
        <v>158</v>
      </c>
      <c r="M331" s="42" t="s">
        <v>233</v>
      </c>
      <c r="N331" s="35">
        <v>0</v>
      </c>
      <c r="O331" s="51">
        <v>1.875</v>
      </c>
      <c r="P331" s="51">
        <v>1.875</v>
      </c>
      <c r="Q331" s="64">
        <v>1</v>
      </c>
      <c r="R331" s="76">
        <v>2.888564774381368</v>
      </c>
      <c r="S331" s="76">
        <v>2.888564774381368</v>
      </c>
      <c r="T331" s="66">
        <v>3.1034268508678711</v>
      </c>
      <c r="U331" s="67">
        <f t="shared" si="15"/>
        <v>2.9959958126246198</v>
      </c>
      <c r="V331" s="66">
        <v>3.0117192186955011</v>
      </c>
    </row>
    <row r="332" spans="1:22">
      <c r="A332" s="33" t="s">
        <v>98</v>
      </c>
      <c r="B332" s="37" t="s">
        <v>82</v>
      </c>
      <c r="C332" s="37" t="s">
        <v>22</v>
      </c>
      <c r="D332" s="35">
        <v>28</v>
      </c>
      <c r="E332" s="35">
        <v>10000</v>
      </c>
      <c r="F332" s="35">
        <v>3</v>
      </c>
      <c r="G332" s="37">
        <v>1</v>
      </c>
      <c r="H332" s="33" t="s">
        <v>197</v>
      </c>
      <c r="I332" s="33">
        <v>1</v>
      </c>
      <c r="J332" s="33">
        <v>1</v>
      </c>
      <c r="K332" s="33" t="s">
        <v>275</v>
      </c>
      <c r="L332" s="33" t="s">
        <v>154</v>
      </c>
      <c r="M332" s="43" t="s">
        <v>318</v>
      </c>
      <c r="N332" s="35">
        <v>0</v>
      </c>
      <c r="O332" s="51">
        <v>10.162000000000006</v>
      </c>
      <c r="P332" s="51">
        <v>10.162000000000006</v>
      </c>
      <c r="Q332" s="64">
        <v>1</v>
      </c>
      <c r="R332" s="76">
        <v>3.7481614928496678</v>
      </c>
      <c r="S332" s="76">
        <v>3.7481614928496678</v>
      </c>
      <c r="T332" s="66">
        <v>3.9862068610634651</v>
      </c>
      <c r="U332" s="67">
        <f t="shared" si="15"/>
        <v>3.8671841769565667</v>
      </c>
      <c r="V332" s="66">
        <v>3.8711512211441952</v>
      </c>
    </row>
    <row r="333" spans="1:22">
      <c r="A333" s="33" t="s">
        <v>98</v>
      </c>
      <c r="B333" s="37" t="s">
        <v>82</v>
      </c>
      <c r="C333" s="37" t="s">
        <v>22</v>
      </c>
      <c r="D333" s="35">
        <v>28</v>
      </c>
      <c r="E333" s="35">
        <v>10000</v>
      </c>
      <c r="F333" s="35">
        <v>3</v>
      </c>
      <c r="G333" s="37">
        <v>1</v>
      </c>
      <c r="H333" s="33" t="s">
        <v>197</v>
      </c>
      <c r="I333" s="33">
        <v>2</v>
      </c>
      <c r="J333" s="33">
        <v>2</v>
      </c>
      <c r="K333" s="33" t="s">
        <v>276</v>
      </c>
      <c r="L333" s="33" t="s">
        <v>155</v>
      </c>
      <c r="M333" s="43" t="s">
        <v>318</v>
      </c>
      <c r="N333" s="35">
        <v>0</v>
      </c>
      <c r="O333" s="51">
        <v>3.6630000000000109</v>
      </c>
      <c r="P333" s="51">
        <v>3.6630000000000109</v>
      </c>
      <c r="Q333" s="64">
        <v>1</v>
      </c>
      <c r="R333" s="76">
        <v>3.7127795661301608</v>
      </c>
      <c r="S333" s="76">
        <v>3.7127795661301608</v>
      </c>
      <c r="T333" s="66">
        <v>3.9841269349845199</v>
      </c>
      <c r="U333" s="67">
        <f t="shared" si="15"/>
        <v>3.8484532505573403</v>
      </c>
      <c r="V333" s="66">
        <v>3.8475970548862111</v>
      </c>
    </row>
    <row r="334" spans="1:22">
      <c r="A334" s="33" t="s">
        <v>98</v>
      </c>
      <c r="B334" s="37" t="s">
        <v>82</v>
      </c>
      <c r="C334" s="37" t="s">
        <v>22</v>
      </c>
      <c r="D334" s="35">
        <v>28</v>
      </c>
      <c r="E334" s="35">
        <v>10000</v>
      </c>
      <c r="F334" s="35">
        <v>3</v>
      </c>
      <c r="G334" s="37">
        <v>1</v>
      </c>
      <c r="H334" s="33" t="s">
        <v>197</v>
      </c>
      <c r="I334" s="33">
        <v>3</v>
      </c>
      <c r="J334" s="33">
        <v>3</v>
      </c>
      <c r="K334" s="33" t="s">
        <v>275</v>
      </c>
      <c r="L334" s="33" t="s">
        <v>158</v>
      </c>
      <c r="M334" s="43" t="s">
        <v>318</v>
      </c>
      <c r="N334" s="35">
        <v>0</v>
      </c>
      <c r="O334" s="51">
        <v>1.9020000000000437</v>
      </c>
      <c r="P334" s="51">
        <v>1.9020000000000437</v>
      </c>
      <c r="Q334" s="64">
        <v>1</v>
      </c>
      <c r="R334" s="76">
        <v>3.714157469244288</v>
      </c>
      <c r="S334" s="76">
        <v>3.714157469244288</v>
      </c>
      <c r="T334" s="66">
        <v>4.0032041450777198</v>
      </c>
      <c r="U334" s="67">
        <f t="shared" si="15"/>
        <v>3.8586808071610039</v>
      </c>
      <c r="V334" s="66">
        <v>3.861642186452046</v>
      </c>
    </row>
    <row r="335" spans="1:22">
      <c r="A335" s="33" t="s">
        <v>98</v>
      </c>
      <c r="B335" s="37" t="s">
        <v>82</v>
      </c>
      <c r="C335" s="37" t="s">
        <v>22</v>
      </c>
      <c r="D335" s="35">
        <v>28</v>
      </c>
      <c r="E335" s="35">
        <v>10000</v>
      </c>
      <c r="F335" s="35">
        <v>3</v>
      </c>
      <c r="G335" s="37">
        <v>1</v>
      </c>
      <c r="H335" s="33" t="s">
        <v>197</v>
      </c>
      <c r="I335" s="33">
        <v>4</v>
      </c>
      <c r="J335" s="33">
        <v>4</v>
      </c>
      <c r="K335" s="33" t="s">
        <v>276</v>
      </c>
      <c r="L335" s="33" t="s">
        <v>157</v>
      </c>
      <c r="M335" s="43" t="s">
        <v>318</v>
      </c>
      <c r="N335" s="35">
        <v>0</v>
      </c>
      <c r="O335" s="51">
        <v>2.7830000000000155</v>
      </c>
      <c r="P335" s="51">
        <v>2.7830000000000155</v>
      </c>
      <c r="Q335" s="64">
        <v>1</v>
      </c>
      <c r="R335" s="76">
        <v>3.6072151504669661</v>
      </c>
      <c r="S335" s="76">
        <v>3.6072151504669661</v>
      </c>
      <c r="T335" s="66">
        <v>3.857691939890711</v>
      </c>
      <c r="U335" s="67">
        <f t="shared" si="15"/>
        <v>3.7324535451788385</v>
      </c>
      <c r="V335" s="66">
        <v>3.7345505016722411</v>
      </c>
    </row>
    <row r="336" spans="1:22">
      <c r="A336" s="33" t="s">
        <v>98</v>
      </c>
      <c r="B336" s="37" t="s">
        <v>82</v>
      </c>
      <c r="C336" s="37" t="s">
        <v>22</v>
      </c>
      <c r="D336" s="35">
        <v>28</v>
      </c>
      <c r="E336" s="35">
        <v>10000</v>
      </c>
      <c r="F336" s="35">
        <v>3</v>
      </c>
      <c r="G336" s="37">
        <v>1</v>
      </c>
      <c r="H336" s="33" t="s">
        <v>197</v>
      </c>
      <c r="I336" s="33">
        <v>5</v>
      </c>
      <c r="J336" s="33"/>
      <c r="K336" s="33" t="s">
        <v>276</v>
      </c>
      <c r="L336" s="33" t="s">
        <v>156</v>
      </c>
      <c r="M336" s="43" t="s">
        <v>318</v>
      </c>
      <c r="N336" s="35">
        <v>0</v>
      </c>
      <c r="O336" s="51"/>
      <c r="P336" s="51"/>
      <c r="Q336" s="64"/>
      <c r="R336" s="76">
        <v>3.5496983798690098</v>
      </c>
      <c r="S336" s="76">
        <v>3.5496983798690098</v>
      </c>
      <c r="T336" s="66">
        <v>3.8214063459570111</v>
      </c>
      <c r="U336" s="67">
        <f t="shared" si="15"/>
        <v>3.6855523629130102</v>
      </c>
      <c r="V336" s="66">
        <v>3.6862105791764308</v>
      </c>
    </row>
    <row r="337" spans="1:22">
      <c r="A337" s="33" t="s">
        <v>98</v>
      </c>
      <c r="B337" s="37" t="s">
        <v>82</v>
      </c>
      <c r="C337" s="37" t="s">
        <v>22</v>
      </c>
      <c r="D337" s="35">
        <v>28</v>
      </c>
      <c r="E337" s="35">
        <v>10000</v>
      </c>
      <c r="F337" s="35">
        <v>3</v>
      </c>
      <c r="G337" s="37">
        <v>1</v>
      </c>
      <c r="H337" s="33" t="s">
        <v>197</v>
      </c>
      <c r="I337" s="33">
        <v>6</v>
      </c>
      <c r="J337" s="33">
        <v>5</v>
      </c>
      <c r="K337" s="33" t="s">
        <v>275</v>
      </c>
      <c r="L337" s="33" t="s">
        <v>153</v>
      </c>
      <c r="M337" s="43" t="s">
        <v>318</v>
      </c>
      <c r="N337" s="35">
        <v>0</v>
      </c>
      <c r="O337" s="51">
        <v>1.4230000000000018</v>
      </c>
      <c r="P337" s="51">
        <v>1.4230000000000018</v>
      </c>
      <c r="Q337" s="64">
        <v>1</v>
      </c>
      <c r="R337" s="76">
        <v>3.5015249055307449</v>
      </c>
      <c r="S337" s="76">
        <v>3.5015249055307449</v>
      </c>
      <c r="T337" s="66">
        <v>3.7257461721674039</v>
      </c>
      <c r="U337" s="67">
        <f t="shared" si="15"/>
        <v>3.6136355388490742</v>
      </c>
      <c r="V337" s="66">
        <v>3.616848646842632</v>
      </c>
    </row>
    <row r="338" spans="1:22">
      <c r="A338" s="33" t="s">
        <v>98</v>
      </c>
      <c r="B338" s="37" t="s">
        <v>82</v>
      </c>
      <c r="C338" s="37" t="s">
        <v>21</v>
      </c>
      <c r="D338" s="35">
        <v>28</v>
      </c>
      <c r="E338" s="35">
        <v>10000</v>
      </c>
      <c r="F338" s="35">
        <v>3</v>
      </c>
      <c r="G338" s="37">
        <v>2</v>
      </c>
      <c r="H338" s="33" t="s">
        <v>199</v>
      </c>
      <c r="I338" s="33">
        <v>1</v>
      </c>
      <c r="J338" s="33"/>
      <c r="K338" s="33" t="s">
        <v>276</v>
      </c>
      <c r="L338" s="33" t="s">
        <v>156</v>
      </c>
      <c r="M338" s="48" t="s">
        <v>319</v>
      </c>
      <c r="N338" s="35"/>
      <c r="O338" s="51"/>
      <c r="P338" s="51"/>
      <c r="Q338" s="64"/>
      <c r="R338" s="76">
        <v>4.351</v>
      </c>
      <c r="S338" s="76">
        <v>4.351</v>
      </c>
      <c r="T338" s="66">
        <v>4.7610000000000001</v>
      </c>
      <c r="U338" s="67">
        <f t="shared" si="15"/>
        <v>4.556</v>
      </c>
      <c r="V338" s="66">
        <v>4.556</v>
      </c>
    </row>
    <row r="339" spans="1:22">
      <c r="A339" s="33" t="s">
        <v>98</v>
      </c>
      <c r="B339" s="37" t="s">
        <v>82</v>
      </c>
      <c r="C339" s="37" t="s">
        <v>21</v>
      </c>
      <c r="D339" s="35">
        <v>28</v>
      </c>
      <c r="E339" s="35">
        <v>10000</v>
      </c>
      <c r="F339" s="35">
        <v>3</v>
      </c>
      <c r="G339" s="37">
        <v>2</v>
      </c>
      <c r="H339" s="33" t="s">
        <v>199</v>
      </c>
      <c r="I339" s="33">
        <v>2</v>
      </c>
      <c r="J339" s="33">
        <v>1</v>
      </c>
      <c r="K339" s="33" t="s">
        <v>275</v>
      </c>
      <c r="L339" s="33" t="s">
        <v>157</v>
      </c>
      <c r="M339" s="48" t="s">
        <v>319</v>
      </c>
      <c r="N339" s="35">
        <v>0</v>
      </c>
      <c r="O339" s="51">
        <v>5.0999999999999659</v>
      </c>
      <c r="P339" s="51">
        <v>5.0999999999999659</v>
      </c>
      <c r="Q339" s="64">
        <v>1</v>
      </c>
      <c r="R339" s="76">
        <v>3.5017546712802772</v>
      </c>
      <c r="S339" s="76">
        <v>3.5017546712802772</v>
      </c>
      <c r="T339" s="66">
        <v>3.7277585969738651</v>
      </c>
      <c r="U339" s="67">
        <f t="shared" si="15"/>
        <v>3.6147566341270712</v>
      </c>
      <c r="V339" s="66">
        <v>3.6148347386172008</v>
      </c>
    </row>
    <row r="340" spans="1:22">
      <c r="A340" s="33" t="s">
        <v>98</v>
      </c>
      <c r="B340" s="37" t="s">
        <v>82</v>
      </c>
      <c r="C340" s="37" t="s">
        <v>21</v>
      </c>
      <c r="D340" s="35">
        <v>28</v>
      </c>
      <c r="E340" s="35">
        <v>10000</v>
      </c>
      <c r="F340" s="35">
        <v>3</v>
      </c>
      <c r="G340" s="37">
        <v>2</v>
      </c>
      <c r="H340" s="33" t="s">
        <v>199</v>
      </c>
      <c r="I340" s="33">
        <v>3</v>
      </c>
      <c r="J340" s="33">
        <v>2</v>
      </c>
      <c r="K340" s="33" t="s">
        <v>276</v>
      </c>
      <c r="L340" s="33" t="s">
        <v>153</v>
      </c>
      <c r="M340" s="48" t="s">
        <v>250</v>
      </c>
      <c r="N340" s="35">
        <v>0</v>
      </c>
      <c r="O340" s="51">
        <v>1.5200000000000955</v>
      </c>
      <c r="P340" s="51">
        <v>1.5200000000000955</v>
      </c>
      <c r="Q340" s="64">
        <v>1</v>
      </c>
      <c r="R340" s="76">
        <v>3.4989902540898021</v>
      </c>
      <c r="S340" s="76">
        <v>3.4989902540898021</v>
      </c>
      <c r="T340" s="66">
        <v>3.739332989690721</v>
      </c>
      <c r="U340" s="67">
        <f t="shared" si="15"/>
        <v>3.6191616218902616</v>
      </c>
      <c r="V340" s="66">
        <v>3.6283375967687639</v>
      </c>
    </row>
    <row r="341" spans="1:22">
      <c r="A341" s="33" t="s">
        <v>98</v>
      </c>
      <c r="B341" s="37" t="s">
        <v>82</v>
      </c>
      <c r="C341" s="37" t="s">
        <v>21</v>
      </c>
      <c r="D341" s="35">
        <v>28</v>
      </c>
      <c r="E341" s="35">
        <v>10000</v>
      </c>
      <c r="F341" s="35">
        <v>3</v>
      </c>
      <c r="G341" s="37">
        <v>2</v>
      </c>
      <c r="H341" s="33" t="s">
        <v>199</v>
      </c>
      <c r="I341" s="33">
        <v>4</v>
      </c>
      <c r="J341" s="33">
        <v>3</v>
      </c>
      <c r="K341" s="33" t="s">
        <v>276</v>
      </c>
      <c r="L341" s="33" t="s">
        <v>158</v>
      </c>
      <c r="M341" s="48" t="s">
        <v>250</v>
      </c>
      <c r="N341" s="35"/>
      <c r="O341" s="51" t="s">
        <v>394</v>
      </c>
      <c r="P341" s="51" t="s">
        <v>394</v>
      </c>
      <c r="Q341" s="64" t="s">
        <v>274</v>
      </c>
    </row>
    <row r="342" spans="1:22">
      <c r="A342" s="33" t="s">
        <v>98</v>
      </c>
      <c r="B342" s="37" t="s">
        <v>82</v>
      </c>
      <c r="C342" s="37" t="s">
        <v>21</v>
      </c>
      <c r="D342" s="35">
        <v>28</v>
      </c>
      <c r="E342" s="35">
        <v>10000</v>
      </c>
      <c r="F342" s="35">
        <v>3</v>
      </c>
      <c r="G342" s="37">
        <v>2</v>
      </c>
      <c r="H342" s="33" t="s">
        <v>199</v>
      </c>
      <c r="I342" s="33">
        <v>5</v>
      </c>
      <c r="J342" s="33">
        <v>4</v>
      </c>
      <c r="K342" s="33" t="s">
        <v>275</v>
      </c>
      <c r="L342" s="33" t="s">
        <v>155</v>
      </c>
      <c r="M342" s="48" t="s">
        <v>250</v>
      </c>
      <c r="N342" s="35">
        <v>0</v>
      </c>
      <c r="O342" s="51">
        <v>0.78999999999996362</v>
      </c>
      <c r="P342" s="51">
        <v>0.78999999999996362</v>
      </c>
      <c r="Q342" s="64">
        <v>1</v>
      </c>
      <c r="R342" s="76">
        <v>3.3238818213416761</v>
      </c>
      <c r="S342" s="76">
        <v>3.3238818213416761</v>
      </c>
      <c r="T342" s="66">
        <v>3.5579394673123481</v>
      </c>
      <c r="U342" s="67">
        <f t="shared" ref="U342:U353" si="16">AVERAGE(S342:T342)</f>
        <v>3.4409106443270119</v>
      </c>
      <c r="V342" s="66">
        <v>3.4558891501511591</v>
      </c>
    </row>
    <row r="343" spans="1:22">
      <c r="A343" s="33" t="s">
        <v>98</v>
      </c>
      <c r="B343" s="37" t="s">
        <v>82</v>
      </c>
      <c r="C343" s="37" t="s">
        <v>21</v>
      </c>
      <c r="D343" s="35">
        <v>28</v>
      </c>
      <c r="E343" s="35">
        <v>10000</v>
      </c>
      <c r="F343" s="35">
        <v>3</v>
      </c>
      <c r="G343" s="37">
        <v>2</v>
      </c>
      <c r="H343" s="33" t="s">
        <v>199</v>
      </c>
      <c r="I343" s="33">
        <v>6</v>
      </c>
      <c r="J343" s="33">
        <v>5</v>
      </c>
      <c r="K343" s="33" t="s">
        <v>275</v>
      </c>
      <c r="L343" s="33" t="s">
        <v>154</v>
      </c>
      <c r="M343" s="48" t="s">
        <v>250</v>
      </c>
      <c r="N343" s="35">
        <v>0</v>
      </c>
      <c r="O343" s="51">
        <v>1.8500000000001364</v>
      </c>
      <c r="P343" s="51">
        <v>1.8500000000001364</v>
      </c>
      <c r="Q343" s="64">
        <v>1</v>
      </c>
      <c r="R343" s="76">
        <v>3.4342327196943381</v>
      </c>
      <c r="S343" s="76">
        <v>3.4342327196943381</v>
      </c>
      <c r="T343" s="66">
        <v>3.6907125129265772</v>
      </c>
      <c r="U343" s="67">
        <f t="shared" si="16"/>
        <v>3.5624726163104574</v>
      </c>
      <c r="V343" s="66">
        <v>3.5723410230692072</v>
      </c>
    </row>
    <row r="344" spans="1:22">
      <c r="A344" s="33" t="s">
        <v>98</v>
      </c>
      <c r="B344" s="37" t="s">
        <v>82</v>
      </c>
      <c r="C344" s="37" t="s">
        <v>14</v>
      </c>
      <c r="D344" s="35">
        <v>28</v>
      </c>
      <c r="E344" s="35">
        <v>10000</v>
      </c>
      <c r="F344" s="35">
        <v>3</v>
      </c>
      <c r="G344" s="37">
        <v>3</v>
      </c>
      <c r="H344" s="33" t="s">
        <v>194</v>
      </c>
      <c r="I344" s="33">
        <v>1</v>
      </c>
      <c r="J344" s="33">
        <v>1</v>
      </c>
      <c r="K344" s="33" t="s">
        <v>275</v>
      </c>
      <c r="L344" s="33" t="s">
        <v>153</v>
      </c>
      <c r="M344" s="43" t="s">
        <v>320</v>
      </c>
      <c r="N344" s="35">
        <v>0</v>
      </c>
      <c r="O344" s="51">
        <v>-0.49000000000000909</v>
      </c>
      <c r="P344" s="51">
        <v>-0.49000000000000909</v>
      </c>
      <c r="Q344" s="64">
        <v>1</v>
      </c>
      <c r="R344" s="76">
        <v>3.5583516934656179</v>
      </c>
      <c r="S344" s="76">
        <v>3.5583516934656179</v>
      </c>
      <c r="T344" s="66">
        <v>3.863575490859851</v>
      </c>
      <c r="U344" s="67">
        <f t="shared" si="16"/>
        <v>3.7109635921627344</v>
      </c>
      <c r="V344" s="66">
        <v>3.7108337236533959</v>
      </c>
    </row>
    <row r="345" spans="1:22">
      <c r="A345" s="33" t="s">
        <v>98</v>
      </c>
      <c r="B345" s="37" t="s">
        <v>82</v>
      </c>
      <c r="C345" s="37" t="s">
        <v>14</v>
      </c>
      <c r="D345" s="35">
        <v>28</v>
      </c>
      <c r="E345" s="35">
        <v>10000</v>
      </c>
      <c r="F345" s="35">
        <v>3</v>
      </c>
      <c r="G345" s="37">
        <v>3</v>
      </c>
      <c r="H345" s="33" t="s">
        <v>194</v>
      </c>
      <c r="I345" s="33">
        <v>2</v>
      </c>
      <c r="J345" s="33">
        <v>2</v>
      </c>
      <c r="K345" s="33" t="s">
        <v>276</v>
      </c>
      <c r="L345" s="33" t="s">
        <v>154</v>
      </c>
      <c r="M345" s="48" t="s">
        <v>320</v>
      </c>
      <c r="N345" s="35">
        <v>0</v>
      </c>
      <c r="O345" s="51">
        <v>1.7690000000000055</v>
      </c>
      <c r="P345" s="51">
        <v>1.7690000000000055</v>
      </c>
      <c r="Q345" s="64">
        <v>1</v>
      </c>
      <c r="R345" s="76">
        <v>3.5984852890273449</v>
      </c>
      <c r="S345" s="76">
        <v>3.5984852890273449</v>
      </c>
      <c r="T345" s="66">
        <v>3.8891191372817531</v>
      </c>
      <c r="U345" s="67">
        <f t="shared" si="16"/>
        <v>3.7438022131545488</v>
      </c>
      <c r="V345" s="66">
        <v>3.747398117014122</v>
      </c>
    </row>
    <row r="346" spans="1:22">
      <c r="A346" s="33" t="s">
        <v>98</v>
      </c>
      <c r="B346" s="37" t="s">
        <v>82</v>
      </c>
      <c r="C346" s="37" t="s">
        <v>14</v>
      </c>
      <c r="D346" s="35">
        <v>28</v>
      </c>
      <c r="E346" s="35">
        <v>10000</v>
      </c>
      <c r="F346" s="35">
        <v>3</v>
      </c>
      <c r="G346" s="37">
        <v>3</v>
      </c>
      <c r="H346" s="33" t="s">
        <v>194</v>
      </c>
      <c r="I346" s="33">
        <v>3</v>
      </c>
      <c r="J346" s="33">
        <v>3</v>
      </c>
      <c r="K346" s="33" t="s">
        <v>276</v>
      </c>
      <c r="L346" s="33" t="s">
        <v>155</v>
      </c>
      <c r="M346" s="43" t="s">
        <v>226</v>
      </c>
      <c r="N346" s="35">
        <v>0</v>
      </c>
      <c r="O346" s="51">
        <v>0.94199999999989359</v>
      </c>
      <c r="P346" s="51">
        <v>0.94199999999989359</v>
      </c>
      <c r="Q346" s="64">
        <v>1</v>
      </c>
      <c r="R346" s="76">
        <v>3.6332829250976211</v>
      </c>
      <c r="S346" s="76">
        <v>3.6332829250976211</v>
      </c>
      <c r="T346" s="66">
        <v>3.9205815826330528</v>
      </c>
      <c r="U346" s="67">
        <f t="shared" si="16"/>
        <v>3.7769322538653372</v>
      </c>
      <c r="V346" s="66">
        <v>3.779299520219328</v>
      </c>
    </row>
    <row r="347" spans="1:22">
      <c r="A347" s="33" t="s">
        <v>98</v>
      </c>
      <c r="B347" s="37" t="s">
        <v>82</v>
      </c>
      <c r="C347" s="37" t="s">
        <v>14</v>
      </c>
      <c r="D347" s="35">
        <v>28</v>
      </c>
      <c r="E347" s="35">
        <v>10000</v>
      </c>
      <c r="F347" s="35">
        <v>3</v>
      </c>
      <c r="G347" s="37">
        <v>3</v>
      </c>
      <c r="H347" s="33" t="s">
        <v>194</v>
      </c>
      <c r="I347" s="33">
        <v>4</v>
      </c>
      <c r="J347" s="33"/>
      <c r="K347" s="33" t="s">
        <v>275</v>
      </c>
      <c r="L347" s="33" t="s">
        <v>156</v>
      </c>
      <c r="M347" s="48" t="s">
        <v>226</v>
      </c>
      <c r="N347" s="35"/>
      <c r="O347" s="51"/>
      <c r="P347" s="51"/>
      <c r="Q347" s="64"/>
      <c r="R347" s="76">
        <v>4.3029999999999999</v>
      </c>
      <c r="S347" s="76">
        <v>4.3029999999999999</v>
      </c>
      <c r="T347" s="66">
        <v>4.9130000000000003</v>
      </c>
      <c r="U347" s="67">
        <f t="shared" si="16"/>
        <v>4.6080000000000005</v>
      </c>
      <c r="V347" s="66">
        <v>4.6079999999999997</v>
      </c>
    </row>
    <row r="348" spans="1:22">
      <c r="A348" s="33" t="s">
        <v>98</v>
      </c>
      <c r="B348" s="37" t="s">
        <v>82</v>
      </c>
      <c r="C348" s="37" t="s">
        <v>14</v>
      </c>
      <c r="D348" s="35">
        <v>28</v>
      </c>
      <c r="E348" s="35">
        <v>10000</v>
      </c>
      <c r="F348" s="35">
        <v>3</v>
      </c>
      <c r="G348" s="37">
        <v>3</v>
      </c>
      <c r="H348" s="33" t="s">
        <v>194</v>
      </c>
      <c r="I348" s="33">
        <v>5</v>
      </c>
      <c r="J348" s="33">
        <v>4</v>
      </c>
      <c r="K348" s="33" t="s">
        <v>276</v>
      </c>
      <c r="L348" s="33" t="s">
        <v>157</v>
      </c>
      <c r="M348" s="43" t="s">
        <v>226</v>
      </c>
      <c r="N348" s="35">
        <v>0</v>
      </c>
      <c r="O348" s="51">
        <v>3.3249999999998181</v>
      </c>
      <c r="P348" s="51">
        <v>3.3249999999998181</v>
      </c>
      <c r="Q348" s="64">
        <v>1</v>
      </c>
      <c r="R348" s="76">
        <v>3.577364206128133</v>
      </c>
      <c r="S348" s="76">
        <v>3.577364206128133</v>
      </c>
      <c r="T348" s="66">
        <v>3.8638017301038059</v>
      </c>
      <c r="U348" s="67">
        <f t="shared" si="16"/>
        <v>3.7205829681159694</v>
      </c>
      <c r="V348" s="66">
        <v>3.7188756336600202</v>
      </c>
    </row>
    <row r="349" spans="1:22">
      <c r="A349" s="33" t="s">
        <v>98</v>
      </c>
      <c r="B349" s="37" t="s">
        <v>82</v>
      </c>
      <c r="C349" s="37" t="s">
        <v>14</v>
      </c>
      <c r="D349" s="35">
        <v>28</v>
      </c>
      <c r="E349" s="35">
        <v>10000</v>
      </c>
      <c r="F349" s="35">
        <v>3</v>
      </c>
      <c r="G349" s="37">
        <v>3</v>
      </c>
      <c r="H349" s="33" t="s">
        <v>194</v>
      </c>
      <c r="I349" s="33">
        <v>6</v>
      </c>
      <c r="J349" s="33">
        <v>5</v>
      </c>
      <c r="K349" s="33" t="s">
        <v>275</v>
      </c>
      <c r="L349" s="33" t="s">
        <v>158</v>
      </c>
      <c r="M349" s="48" t="s">
        <v>226</v>
      </c>
      <c r="N349" s="35">
        <v>0</v>
      </c>
      <c r="O349" s="51">
        <v>0.13000000000010914</v>
      </c>
      <c r="P349" s="51">
        <v>0.13000000000010914</v>
      </c>
      <c r="Q349" s="64">
        <v>1</v>
      </c>
      <c r="R349" s="76">
        <v>3.6198993358965388</v>
      </c>
      <c r="S349" s="76">
        <v>3.6198993358965388</v>
      </c>
      <c r="T349" s="66">
        <v>3.901838286109192</v>
      </c>
      <c r="U349" s="67">
        <f t="shared" si="16"/>
        <v>3.7608688110028652</v>
      </c>
      <c r="V349" s="66">
        <v>3.763368899360485</v>
      </c>
    </row>
    <row r="350" spans="1:22">
      <c r="A350" s="32" t="s">
        <v>99</v>
      </c>
      <c r="B350" s="35" t="s">
        <v>82</v>
      </c>
      <c r="C350" s="35" t="s">
        <v>14</v>
      </c>
      <c r="D350" s="35">
        <v>49</v>
      </c>
      <c r="E350" s="35">
        <v>5000</v>
      </c>
      <c r="F350" s="35">
        <v>21</v>
      </c>
      <c r="G350" s="35">
        <v>1</v>
      </c>
      <c r="H350" s="32" t="s">
        <v>197</v>
      </c>
      <c r="I350" s="32">
        <v>1</v>
      </c>
      <c r="J350" s="32">
        <v>1</v>
      </c>
      <c r="K350" s="32" t="s">
        <v>275</v>
      </c>
      <c r="L350" s="32" t="s">
        <v>154</v>
      </c>
      <c r="M350" s="42" t="s">
        <v>321</v>
      </c>
      <c r="N350" s="35">
        <v>4.0000000000000002E-4</v>
      </c>
      <c r="O350" s="51">
        <v>3.5499999999999545</v>
      </c>
      <c r="P350" s="51">
        <v>3.5499999999999545</v>
      </c>
      <c r="Q350" s="64">
        <v>1</v>
      </c>
      <c r="R350" s="76">
        <v>3.1718100358422929</v>
      </c>
      <c r="S350" s="76">
        <v>3.1718100358422929</v>
      </c>
      <c r="T350" s="66">
        <v>3.3318980335032768</v>
      </c>
      <c r="U350" s="67">
        <f t="shared" si="16"/>
        <v>3.2518540346727849</v>
      </c>
      <c r="V350" s="66">
        <v>3.2760759189282029</v>
      </c>
    </row>
    <row r="351" spans="1:22">
      <c r="A351" s="32" t="s">
        <v>99</v>
      </c>
      <c r="B351" s="35" t="s">
        <v>82</v>
      </c>
      <c r="C351" s="35" t="s">
        <v>14</v>
      </c>
      <c r="D351" s="35">
        <v>49</v>
      </c>
      <c r="E351" s="35">
        <v>5000</v>
      </c>
      <c r="F351" s="35">
        <v>21</v>
      </c>
      <c r="G351" s="35">
        <v>1</v>
      </c>
      <c r="H351" s="32" t="s">
        <v>197</v>
      </c>
      <c r="I351" s="32">
        <v>2</v>
      </c>
      <c r="J351" s="32">
        <v>2</v>
      </c>
      <c r="K351" s="32" t="s">
        <v>276</v>
      </c>
      <c r="L351" s="32" t="s">
        <v>155</v>
      </c>
      <c r="M351" s="42" t="s">
        <v>321</v>
      </c>
      <c r="N351" s="35">
        <v>0</v>
      </c>
      <c r="O351" s="51">
        <v>2.1750000000000682</v>
      </c>
      <c r="P351" s="51">
        <v>2.1750000000000682</v>
      </c>
      <c r="Q351" s="64">
        <v>1</v>
      </c>
      <c r="R351" s="76">
        <v>3.0203209741912032</v>
      </c>
      <c r="S351" s="76">
        <v>3.0203209741912032</v>
      </c>
      <c r="T351" s="66">
        <v>3.188542887776983</v>
      </c>
      <c r="U351" s="67">
        <f t="shared" si="16"/>
        <v>3.1044319309840933</v>
      </c>
      <c r="V351" s="66">
        <v>3.1191446967129779</v>
      </c>
    </row>
    <row r="352" spans="1:22">
      <c r="A352" s="32" t="s">
        <v>99</v>
      </c>
      <c r="B352" s="35" t="s">
        <v>82</v>
      </c>
      <c r="C352" s="35" t="s">
        <v>14</v>
      </c>
      <c r="D352" s="35">
        <v>49</v>
      </c>
      <c r="E352" s="35">
        <v>5000</v>
      </c>
      <c r="F352" s="35">
        <v>21</v>
      </c>
      <c r="G352" s="35">
        <v>1</v>
      </c>
      <c r="H352" s="32" t="s">
        <v>197</v>
      </c>
      <c r="I352" s="32">
        <v>3</v>
      </c>
      <c r="J352" s="32">
        <v>3</v>
      </c>
      <c r="K352" s="32" t="s">
        <v>275</v>
      </c>
      <c r="L352" s="32" t="s">
        <v>158</v>
      </c>
      <c r="M352" s="42" t="s">
        <v>321</v>
      </c>
      <c r="N352" s="35">
        <v>0</v>
      </c>
      <c r="O352" s="51">
        <v>2.0130000000000337</v>
      </c>
      <c r="P352" s="51">
        <v>2.0130000000000337</v>
      </c>
      <c r="Q352" s="64">
        <v>1</v>
      </c>
      <c r="R352" s="76">
        <v>3.0980496400151569</v>
      </c>
      <c r="S352" s="76">
        <v>3.0980496400151569</v>
      </c>
      <c r="T352" s="66">
        <v>3.2633231114435302</v>
      </c>
      <c r="U352" s="67">
        <f t="shared" si="16"/>
        <v>3.1806863757293433</v>
      </c>
      <c r="V352" s="66">
        <v>3.1913491847826081</v>
      </c>
    </row>
    <row r="353" spans="1:22">
      <c r="A353" s="32" t="s">
        <v>99</v>
      </c>
      <c r="B353" s="35" t="s">
        <v>82</v>
      </c>
      <c r="C353" s="35" t="s">
        <v>14</v>
      </c>
      <c r="D353" s="35">
        <v>49</v>
      </c>
      <c r="E353" s="35">
        <v>5000</v>
      </c>
      <c r="F353" s="35">
        <v>21</v>
      </c>
      <c r="G353" s="35">
        <v>1</v>
      </c>
      <c r="H353" s="32" t="s">
        <v>197</v>
      </c>
      <c r="I353" s="32">
        <v>4</v>
      </c>
      <c r="J353" s="32">
        <v>4</v>
      </c>
      <c r="K353" s="32" t="s">
        <v>276</v>
      </c>
      <c r="L353" s="32" t="s">
        <v>157</v>
      </c>
      <c r="M353" s="42" t="s">
        <v>321</v>
      </c>
      <c r="N353" s="35">
        <v>4.1700000000000001E-2</v>
      </c>
      <c r="O353" s="51">
        <v>2.0919999999999845</v>
      </c>
      <c r="P353" s="51">
        <v>2.0919999999999845</v>
      </c>
      <c r="Q353" s="64">
        <v>1</v>
      </c>
      <c r="R353" s="76">
        <v>2.9084206039076381</v>
      </c>
      <c r="S353" s="76">
        <v>2.9084206039076381</v>
      </c>
      <c r="T353" s="66">
        <v>3.0458750000000001</v>
      </c>
      <c r="U353" s="67">
        <f t="shared" si="16"/>
        <v>2.9771478019538193</v>
      </c>
      <c r="V353" s="66">
        <v>2.9955883931566589</v>
      </c>
    </row>
    <row r="354" spans="1:22">
      <c r="A354" s="32" t="s">
        <v>99</v>
      </c>
      <c r="B354" s="35" t="s">
        <v>82</v>
      </c>
      <c r="C354" s="35" t="s">
        <v>14</v>
      </c>
      <c r="D354" s="35">
        <v>49</v>
      </c>
      <c r="E354" s="35">
        <v>5000</v>
      </c>
      <c r="F354" s="35">
        <v>21</v>
      </c>
      <c r="G354" s="35">
        <v>1</v>
      </c>
      <c r="H354" s="32" t="s">
        <v>197</v>
      </c>
      <c r="I354" s="32">
        <v>5</v>
      </c>
      <c r="K354" s="32" t="s">
        <v>276</v>
      </c>
      <c r="L354" s="32" t="s">
        <v>156</v>
      </c>
      <c r="M354" s="42" t="s">
        <v>321</v>
      </c>
      <c r="N354" s="35"/>
      <c r="O354" s="51"/>
      <c r="P354" s="51"/>
      <c r="Q354" s="64"/>
    </row>
    <row r="355" spans="1:22">
      <c r="A355" s="32" t="s">
        <v>99</v>
      </c>
      <c r="B355" s="35" t="s">
        <v>82</v>
      </c>
      <c r="C355" s="35" t="s">
        <v>14</v>
      </c>
      <c r="D355" s="35">
        <v>49</v>
      </c>
      <c r="E355" s="35">
        <v>5000</v>
      </c>
      <c r="F355" s="35">
        <v>21</v>
      </c>
      <c r="G355" s="35">
        <v>1</v>
      </c>
      <c r="H355" s="32" t="s">
        <v>197</v>
      </c>
      <c r="I355" s="32">
        <v>6</v>
      </c>
      <c r="J355" s="32">
        <v>5</v>
      </c>
      <c r="K355" s="32" t="s">
        <v>275</v>
      </c>
      <c r="L355" s="32" t="s">
        <v>153</v>
      </c>
      <c r="M355" s="42" t="s">
        <v>321</v>
      </c>
      <c r="N355" s="35">
        <v>0</v>
      </c>
      <c r="O355" s="51">
        <v>1.890999999999849</v>
      </c>
      <c r="P355" s="51">
        <v>1.890999999999849</v>
      </c>
      <c r="Q355" s="64">
        <v>1</v>
      </c>
      <c r="R355" s="76">
        <v>2.8261285255265971</v>
      </c>
      <c r="S355" s="76">
        <v>2.8261285255265971</v>
      </c>
      <c r="T355" s="66">
        <v>2.9807039972432809</v>
      </c>
      <c r="U355" s="67">
        <f>AVERAGE(S355:T355)</f>
        <v>2.903416261384939</v>
      </c>
      <c r="V355" s="66">
        <v>2.9156135909393739</v>
      </c>
    </row>
    <row r="356" spans="1:22">
      <c r="A356" s="32" t="s">
        <v>99</v>
      </c>
      <c r="B356" s="35" t="s">
        <v>82</v>
      </c>
      <c r="C356" s="35" t="s">
        <v>22</v>
      </c>
      <c r="D356" s="35">
        <v>49</v>
      </c>
      <c r="E356" s="35">
        <v>5000</v>
      </c>
      <c r="F356" s="35">
        <v>21</v>
      </c>
      <c r="G356" s="35">
        <v>2</v>
      </c>
      <c r="H356" s="32" t="s">
        <v>194</v>
      </c>
      <c r="I356" s="32">
        <v>1</v>
      </c>
      <c r="J356" s="32">
        <v>1</v>
      </c>
      <c r="K356" s="32" t="s">
        <v>275</v>
      </c>
      <c r="L356" s="32" t="s">
        <v>153</v>
      </c>
      <c r="M356" s="46" t="s">
        <v>322</v>
      </c>
      <c r="N356" s="35">
        <v>0</v>
      </c>
      <c r="O356" s="51">
        <v>1.8830000000000098</v>
      </c>
      <c r="P356" s="51">
        <v>1.8830000000000098</v>
      </c>
      <c r="Q356" s="64">
        <v>1</v>
      </c>
      <c r="R356" s="76">
        <v>2.9538876363636359</v>
      </c>
      <c r="S356" s="76">
        <v>2.9538876363636359</v>
      </c>
      <c r="T356" s="66">
        <v>3.1328537886872998</v>
      </c>
      <c r="U356" s="67">
        <f>AVERAGE(S356:T356)</f>
        <v>3.0433707125254679</v>
      </c>
      <c r="V356" s="66">
        <v>3.084528384279476</v>
      </c>
    </row>
    <row r="357" spans="1:22">
      <c r="A357" s="32" t="s">
        <v>99</v>
      </c>
      <c r="B357" s="35" t="s">
        <v>82</v>
      </c>
      <c r="C357" s="35" t="s">
        <v>22</v>
      </c>
      <c r="D357" s="35">
        <v>49</v>
      </c>
      <c r="E357" s="35">
        <v>5000</v>
      </c>
      <c r="F357" s="35">
        <v>21</v>
      </c>
      <c r="G357" s="35">
        <v>2</v>
      </c>
      <c r="H357" s="32" t="s">
        <v>194</v>
      </c>
      <c r="I357" s="32">
        <v>2</v>
      </c>
      <c r="J357" s="32">
        <v>2</v>
      </c>
      <c r="K357" s="32" t="s">
        <v>276</v>
      </c>
      <c r="L357" s="32" t="s">
        <v>154</v>
      </c>
      <c r="M357" s="46" t="s">
        <v>322</v>
      </c>
      <c r="N357" s="35">
        <v>0.75619999999999998</v>
      </c>
      <c r="O357" s="51">
        <v>0.28899999999998727</v>
      </c>
      <c r="P357" s="51">
        <v>0.28899999999998727</v>
      </c>
      <c r="Q357" s="64">
        <v>1</v>
      </c>
      <c r="R357" s="76">
        <v>2.9552706935123041</v>
      </c>
      <c r="S357" s="76">
        <v>2.9552706935123041</v>
      </c>
      <c r="T357" s="66">
        <v>3.1377493453049001</v>
      </c>
      <c r="U357" s="67">
        <f>AVERAGE(S357:T357)</f>
        <v>3.0465100194086023</v>
      </c>
      <c r="V357" s="66">
        <v>3.0881275720164609</v>
      </c>
    </row>
    <row r="358" spans="1:22">
      <c r="A358" s="32" t="s">
        <v>99</v>
      </c>
      <c r="B358" s="35" t="s">
        <v>82</v>
      </c>
      <c r="C358" s="35" t="s">
        <v>22</v>
      </c>
      <c r="D358" s="35">
        <v>49</v>
      </c>
      <c r="E358" s="35">
        <v>5000</v>
      </c>
      <c r="F358" s="35">
        <v>21</v>
      </c>
      <c r="G358" s="35">
        <v>2</v>
      </c>
      <c r="H358" s="32" t="s">
        <v>194</v>
      </c>
      <c r="I358" s="32">
        <v>3</v>
      </c>
      <c r="J358" s="32">
        <v>3</v>
      </c>
      <c r="K358" s="32" t="s">
        <v>276</v>
      </c>
      <c r="L358" s="32" t="s">
        <v>155</v>
      </c>
      <c r="M358" s="47" t="s">
        <v>198</v>
      </c>
      <c r="N358" s="35">
        <v>8.0000000000000004E-4</v>
      </c>
      <c r="O358" s="51">
        <v>2.4600000000000364</v>
      </c>
      <c r="P358" s="51">
        <v>2.4600000000000364</v>
      </c>
      <c r="Q358" s="64">
        <v>1</v>
      </c>
      <c r="R358" s="76">
        <v>2.951773134328358</v>
      </c>
      <c r="S358" s="76">
        <v>2.951773134328358</v>
      </c>
      <c r="T358" s="66">
        <v>3.0973723364485979</v>
      </c>
      <c r="U358" s="67">
        <f>AVERAGE(S358:T358)</f>
        <v>3.0245727353884782</v>
      </c>
      <c r="V358" s="66">
        <v>3.0506451724137928</v>
      </c>
    </row>
    <row r="359" spans="1:22">
      <c r="A359" s="32" t="s">
        <v>99</v>
      </c>
      <c r="B359" s="35" t="s">
        <v>82</v>
      </c>
      <c r="C359" s="35" t="s">
        <v>22</v>
      </c>
      <c r="D359" s="35">
        <v>49</v>
      </c>
      <c r="E359" s="35">
        <v>5000</v>
      </c>
      <c r="F359" s="35">
        <v>21</v>
      </c>
      <c r="G359" s="35">
        <v>2</v>
      </c>
      <c r="H359" s="32" t="s">
        <v>194</v>
      </c>
      <c r="I359" s="32">
        <v>4</v>
      </c>
      <c r="K359" s="32" t="s">
        <v>275</v>
      </c>
      <c r="L359" s="32" t="s">
        <v>156</v>
      </c>
      <c r="M359" s="46" t="s">
        <v>198</v>
      </c>
      <c r="N359" s="35"/>
      <c r="O359" s="51"/>
      <c r="P359" s="51"/>
      <c r="Q359" s="64"/>
    </row>
    <row r="360" spans="1:22">
      <c r="A360" s="32" t="s">
        <v>99</v>
      </c>
      <c r="B360" s="35" t="s">
        <v>82</v>
      </c>
      <c r="C360" s="35" t="s">
        <v>22</v>
      </c>
      <c r="D360" s="35">
        <v>49</v>
      </c>
      <c r="E360" s="35">
        <v>5000</v>
      </c>
      <c r="F360" s="35">
        <v>21</v>
      </c>
      <c r="G360" s="35">
        <v>2</v>
      </c>
      <c r="H360" s="32" t="s">
        <v>194</v>
      </c>
      <c r="I360" s="32">
        <v>5</v>
      </c>
      <c r="J360" s="32">
        <v>4</v>
      </c>
      <c r="K360" s="32" t="s">
        <v>276</v>
      </c>
      <c r="L360" s="32" t="s">
        <v>157</v>
      </c>
      <c r="M360" s="46" t="s">
        <v>198</v>
      </c>
      <c r="N360" s="35">
        <v>9.2999999999999992E-3</v>
      </c>
      <c r="O360" s="51">
        <v>2.8320000000001073</v>
      </c>
      <c r="P360" s="51">
        <v>2.8320000000001073</v>
      </c>
      <c r="Q360" s="64">
        <v>1</v>
      </c>
      <c r="R360" s="76">
        <v>3.017403540462428</v>
      </c>
      <c r="S360" s="76">
        <v>3.017403540462428</v>
      </c>
      <c r="T360" s="66">
        <v>3.165307498197548</v>
      </c>
      <c r="U360" s="67">
        <f>AVERAGE(S360:T360)</f>
        <v>3.091355519329988</v>
      </c>
      <c r="V360" s="66">
        <v>3.1075179364537071</v>
      </c>
    </row>
    <row r="361" spans="1:22">
      <c r="A361" s="32" t="s">
        <v>99</v>
      </c>
      <c r="B361" s="35" t="s">
        <v>82</v>
      </c>
      <c r="C361" s="35" t="s">
        <v>22</v>
      </c>
      <c r="D361" s="35">
        <v>49</v>
      </c>
      <c r="E361" s="35">
        <v>5000</v>
      </c>
      <c r="F361" s="35">
        <v>21</v>
      </c>
      <c r="G361" s="35">
        <v>2</v>
      </c>
      <c r="H361" s="32" t="s">
        <v>194</v>
      </c>
      <c r="I361" s="32">
        <v>6</v>
      </c>
      <c r="J361" s="32">
        <v>5</v>
      </c>
      <c r="K361" s="32" t="s">
        <v>275</v>
      </c>
      <c r="L361" s="32" t="s">
        <v>158</v>
      </c>
      <c r="M361" s="46" t="s">
        <v>198</v>
      </c>
      <c r="N361" s="35">
        <v>0</v>
      </c>
      <c r="O361" s="51">
        <v>1.5149999999998727</v>
      </c>
      <c r="P361" s="51">
        <v>1.5149999999998727</v>
      </c>
      <c r="Q361" s="64">
        <v>1</v>
      </c>
      <c r="R361" s="76">
        <v>3.010288799414349</v>
      </c>
      <c r="S361" s="76">
        <v>3.010288799414349</v>
      </c>
      <c r="T361" s="66">
        <v>3.138257657657658</v>
      </c>
      <c r="U361" s="67">
        <f>AVERAGE(S361:T361)</f>
        <v>3.0742732285360033</v>
      </c>
      <c r="V361" s="66">
        <v>3.090337653478854</v>
      </c>
    </row>
    <row r="362" spans="1:22">
      <c r="A362" s="32" t="s">
        <v>99</v>
      </c>
      <c r="B362" s="35" t="s">
        <v>82</v>
      </c>
      <c r="C362" s="35" t="s">
        <v>21</v>
      </c>
      <c r="D362" s="35">
        <v>49</v>
      </c>
      <c r="E362" s="35">
        <v>5000</v>
      </c>
      <c r="F362" s="35">
        <v>21</v>
      </c>
      <c r="G362" s="35">
        <v>3</v>
      </c>
      <c r="H362" s="32" t="s">
        <v>199</v>
      </c>
      <c r="I362" s="32">
        <v>1</v>
      </c>
      <c r="K362" s="32" t="s">
        <v>276</v>
      </c>
      <c r="L362" s="32" t="s">
        <v>156</v>
      </c>
      <c r="M362" s="46" t="s">
        <v>323</v>
      </c>
      <c r="N362" s="35"/>
      <c r="O362" s="51"/>
      <c r="P362" s="51"/>
      <c r="Q362" s="64"/>
    </row>
    <row r="363" spans="1:22">
      <c r="A363" s="32" t="s">
        <v>99</v>
      </c>
      <c r="B363" s="35" t="s">
        <v>82</v>
      </c>
      <c r="C363" s="35" t="s">
        <v>21</v>
      </c>
      <c r="D363" s="35">
        <v>49</v>
      </c>
      <c r="E363" s="35">
        <v>5000</v>
      </c>
      <c r="F363" s="35">
        <v>21</v>
      </c>
      <c r="G363" s="35">
        <v>3</v>
      </c>
      <c r="H363" s="32" t="s">
        <v>199</v>
      </c>
      <c r="I363" s="32">
        <v>2</v>
      </c>
      <c r="J363" s="32">
        <v>1</v>
      </c>
      <c r="K363" s="32" t="s">
        <v>275</v>
      </c>
      <c r="L363" s="32" t="s">
        <v>157</v>
      </c>
      <c r="M363" s="46" t="s">
        <v>323</v>
      </c>
      <c r="N363" s="35">
        <v>8.0000000000000004E-4</v>
      </c>
      <c r="O363" s="51">
        <v>4.1800000000000068</v>
      </c>
      <c r="P363" s="51">
        <v>4.1800000000000068</v>
      </c>
      <c r="Q363" s="64">
        <v>1</v>
      </c>
      <c r="R363" s="76">
        <v>2.9497510436432641</v>
      </c>
      <c r="S363" s="76">
        <v>2.9497510436432641</v>
      </c>
      <c r="T363" s="66">
        <v>3.114323770491803</v>
      </c>
      <c r="U363" s="67">
        <f t="shared" ref="U363:U371" si="17">AVERAGE(S363:T363)</f>
        <v>3.0320374070675333</v>
      </c>
      <c r="V363" s="66">
        <v>3.0701437206178639</v>
      </c>
    </row>
    <row r="364" spans="1:22">
      <c r="A364" s="32" t="s">
        <v>99</v>
      </c>
      <c r="B364" s="35" t="s">
        <v>82</v>
      </c>
      <c r="C364" s="35" t="s">
        <v>21</v>
      </c>
      <c r="D364" s="35">
        <v>49</v>
      </c>
      <c r="E364" s="35">
        <v>5000</v>
      </c>
      <c r="F364" s="35">
        <v>21</v>
      </c>
      <c r="G364" s="35">
        <v>3</v>
      </c>
      <c r="H364" s="32" t="s">
        <v>199</v>
      </c>
      <c r="I364" s="32">
        <v>3</v>
      </c>
      <c r="J364" s="32">
        <v>2</v>
      </c>
      <c r="K364" s="32" t="s">
        <v>276</v>
      </c>
      <c r="L364" s="32" t="s">
        <v>153</v>
      </c>
      <c r="M364" s="46" t="s">
        <v>221</v>
      </c>
      <c r="N364" s="35">
        <v>0.87009999999999998</v>
      </c>
      <c r="O364" s="51">
        <v>1.5399999999999636</v>
      </c>
      <c r="P364" s="51">
        <v>1.5399999999999636</v>
      </c>
      <c r="Q364" s="64">
        <v>1</v>
      </c>
      <c r="R364" s="76">
        <v>2.9069810443490698</v>
      </c>
      <c r="S364" s="76">
        <v>2.9069810443490698</v>
      </c>
      <c r="T364" s="66">
        <v>3.0562800693240901</v>
      </c>
      <c r="U364" s="67">
        <f t="shared" si="17"/>
        <v>2.98163055683658</v>
      </c>
      <c r="V364" s="66">
        <v>3.0104849611355191</v>
      </c>
    </row>
    <row r="365" spans="1:22">
      <c r="A365" s="32" t="s">
        <v>99</v>
      </c>
      <c r="B365" s="35" t="s">
        <v>82</v>
      </c>
      <c r="C365" s="35" t="s">
        <v>21</v>
      </c>
      <c r="D365" s="35">
        <v>49</v>
      </c>
      <c r="E365" s="35">
        <v>5000</v>
      </c>
      <c r="F365" s="35">
        <v>21</v>
      </c>
      <c r="G365" s="35">
        <v>3</v>
      </c>
      <c r="H365" s="32" t="s">
        <v>199</v>
      </c>
      <c r="I365" s="32">
        <v>4</v>
      </c>
      <c r="J365" s="32">
        <v>3</v>
      </c>
      <c r="K365" s="32" t="s">
        <v>276</v>
      </c>
      <c r="L365" s="32" t="s">
        <v>158</v>
      </c>
      <c r="M365" s="46" t="s">
        <v>221</v>
      </c>
      <c r="N365" s="35">
        <v>2.9600000000000001E-2</v>
      </c>
      <c r="O365" s="51">
        <v>2.05499999999995</v>
      </c>
      <c r="P365" s="51">
        <v>2.05499999999995</v>
      </c>
      <c r="Q365" s="64">
        <v>1</v>
      </c>
      <c r="R365" s="76">
        <v>2.972687628442253</v>
      </c>
      <c r="S365" s="76">
        <v>2.972687628442253</v>
      </c>
      <c r="T365" s="66">
        <v>3.1142555637982192</v>
      </c>
      <c r="U365" s="67">
        <f t="shared" si="17"/>
        <v>3.0434715961202361</v>
      </c>
      <c r="V365" s="66">
        <v>3.0835477318889639</v>
      </c>
    </row>
    <row r="366" spans="1:22">
      <c r="A366" s="32" t="s">
        <v>99</v>
      </c>
      <c r="B366" s="35" t="s">
        <v>82</v>
      </c>
      <c r="C366" s="35" t="s">
        <v>21</v>
      </c>
      <c r="D366" s="35">
        <v>49</v>
      </c>
      <c r="E366" s="35">
        <v>5000</v>
      </c>
      <c r="F366" s="35">
        <v>21</v>
      </c>
      <c r="G366" s="35">
        <v>3</v>
      </c>
      <c r="H366" s="32" t="s">
        <v>199</v>
      </c>
      <c r="I366" s="32">
        <v>5</v>
      </c>
      <c r="J366" s="32">
        <v>4</v>
      </c>
      <c r="K366" s="32" t="s">
        <v>275</v>
      </c>
      <c r="L366" s="32" t="s">
        <v>155</v>
      </c>
      <c r="M366" s="46" t="s">
        <v>221</v>
      </c>
      <c r="N366" s="35">
        <v>0</v>
      </c>
      <c r="O366" s="51">
        <v>3.1599999999999682</v>
      </c>
      <c r="P366" s="51">
        <v>3.1599999999999682</v>
      </c>
      <c r="Q366" s="64">
        <v>1</v>
      </c>
      <c r="R366" s="76">
        <v>2.8394449438202241</v>
      </c>
      <c r="S366" s="76">
        <v>2.8394449438202241</v>
      </c>
      <c r="T366" s="66">
        <v>2.9725001909125619</v>
      </c>
      <c r="U366" s="67">
        <f t="shared" si="17"/>
        <v>2.9059725673663932</v>
      </c>
      <c r="V366" s="66">
        <v>2.9247861952861949</v>
      </c>
    </row>
    <row r="367" spans="1:22">
      <c r="A367" s="32" t="s">
        <v>99</v>
      </c>
      <c r="B367" s="35" t="s">
        <v>82</v>
      </c>
      <c r="C367" s="35" t="s">
        <v>21</v>
      </c>
      <c r="D367" s="35">
        <v>49</v>
      </c>
      <c r="E367" s="35">
        <v>5000</v>
      </c>
      <c r="F367" s="35">
        <v>21</v>
      </c>
      <c r="G367" s="35">
        <v>3</v>
      </c>
      <c r="H367" s="32" t="s">
        <v>199</v>
      </c>
      <c r="I367" s="32">
        <v>6</v>
      </c>
      <c r="J367" s="32">
        <v>5</v>
      </c>
      <c r="K367" s="32" t="s">
        <v>275</v>
      </c>
      <c r="L367" s="32" t="s">
        <v>154</v>
      </c>
      <c r="M367" s="46" t="s">
        <v>221</v>
      </c>
      <c r="N367" s="35">
        <v>0</v>
      </c>
      <c r="O367" s="51">
        <v>0.77999999999997272</v>
      </c>
      <c r="P367" s="51">
        <v>0.77999999999997272</v>
      </c>
      <c r="Q367" s="64">
        <v>1</v>
      </c>
      <c r="R367" s="76">
        <v>2.9552124241342379</v>
      </c>
      <c r="S367" s="76">
        <v>2.9552124241342379</v>
      </c>
      <c r="T367" s="66">
        <v>3.1102715577190541</v>
      </c>
      <c r="U367" s="67">
        <f t="shared" si="17"/>
        <v>3.0327419909266462</v>
      </c>
      <c r="V367" s="66">
        <v>3.0407910195813641</v>
      </c>
    </row>
    <row r="368" spans="1:22">
      <c r="A368" s="33" t="s">
        <v>100</v>
      </c>
      <c r="B368" s="37" t="s">
        <v>82</v>
      </c>
      <c r="C368" s="37" t="s">
        <v>22</v>
      </c>
      <c r="D368" s="35">
        <v>38</v>
      </c>
      <c r="E368" s="35">
        <v>5000</v>
      </c>
      <c r="F368" s="35">
        <v>13</v>
      </c>
      <c r="G368" s="37">
        <v>1</v>
      </c>
      <c r="H368" s="33" t="s">
        <v>197</v>
      </c>
      <c r="I368" s="33">
        <v>1</v>
      </c>
      <c r="J368" s="33">
        <v>1</v>
      </c>
      <c r="K368" s="33" t="s">
        <v>275</v>
      </c>
      <c r="L368" s="33" t="s">
        <v>154</v>
      </c>
      <c r="M368" s="43" t="s">
        <v>324</v>
      </c>
      <c r="N368" s="35">
        <v>0</v>
      </c>
      <c r="O368" s="51">
        <v>3.9189999999999827</v>
      </c>
      <c r="P368" s="51">
        <v>3.9189999999999827</v>
      </c>
      <c r="Q368" s="64">
        <v>1</v>
      </c>
      <c r="R368" s="76">
        <v>3.76322700814901</v>
      </c>
      <c r="S368" s="76">
        <v>3.76322700814901</v>
      </c>
      <c r="T368" s="66">
        <v>3.638535836177474</v>
      </c>
      <c r="U368" s="67">
        <f t="shared" si="17"/>
        <v>3.700881422163242</v>
      </c>
      <c r="V368" s="66">
        <v>3.7076544483985772</v>
      </c>
    </row>
    <row r="369" spans="1:22">
      <c r="A369" s="33" t="s">
        <v>100</v>
      </c>
      <c r="B369" s="37" t="s">
        <v>82</v>
      </c>
      <c r="C369" s="37" t="s">
        <v>22</v>
      </c>
      <c r="D369" s="35">
        <v>38</v>
      </c>
      <c r="E369" s="35">
        <v>5000</v>
      </c>
      <c r="F369" s="35">
        <v>13</v>
      </c>
      <c r="G369" s="37">
        <v>1</v>
      </c>
      <c r="H369" s="33" t="s">
        <v>197</v>
      </c>
      <c r="I369" s="33">
        <v>2</v>
      </c>
      <c r="J369" s="33">
        <v>2</v>
      </c>
      <c r="K369" s="33" t="s">
        <v>276</v>
      </c>
      <c r="L369" s="33" t="s">
        <v>155</v>
      </c>
      <c r="M369" s="43" t="s">
        <v>324</v>
      </c>
      <c r="N369" s="35">
        <v>0</v>
      </c>
      <c r="O369" s="51">
        <v>1.65199999999993</v>
      </c>
      <c r="P369" s="51">
        <v>1.65199999999993</v>
      </c>
      <c r="Q369" s="64">
        <v>1</v>
      </c>
      <c r="R369" s="76">
        <v>3.726017614678899</v>
      </c>
      <c r="S369" s="76">
        <v>3.726017614678899</v>
      </c>
      <c r="T369" s="66">
        <v>3.6176199147617201</v>
      </c>
      <c r="U369" s="67">
        <f t="shared" si="17"/>
        <v>3.6718187647203093</v>
      </c>
      <c r="V369" s="66">
        <v>3.6825345542501728</v>
      </c>
    </row>
    <row r="370" spans="1:22">
      <c r="A370" s="33" t="s">
        <v>100</v>
      </c>
      <c r="B370" s="37" t="s">
        <v>82</v>
      </c>
      <c r="C370" s="37" t="s">
        <v>22</v>
      </c>
      <c r="D370" s="35">
        <v>38</v>
      </c>
      <c r="E370" s="35">
        <v>5000</v>
      </c>
      <c r="F370" s="35">
        <v>13</v>
      </c>
      <c r="G370" s="37">
        <v>1</v>
      </c>
      <c r="H370" s="33" t="s">
        <v>197</v>
      </c>
      <c r="I370" s="33">
        <v>3</v>
      </c>
      <c r="J370" s="33">
        <v>3</v>
      </c>
      <c r="K370" s="33" t="s">
        <v>275</v>
      </c>
      <c r="L370" s="33" t="s">
        <v>158</v>
      </c>
      <c r="M370" s="43" t="s">
        <v>324</v>
      </c>
      <c r="N370" s="35">
        <v>0</v>
      </c>
      <c r="O370" s="51">
        <v>2.3429999999999609</v>
      </c>
      <c r="P370" s="51">
        <v>2.3429999999999609</v>
      </c>
      <c r="Q370" s="64">
        <v>1</v>
      </c>
      <c r="R370" s="76">
        <v>3.7310970511384851</v>
      </c>
      <c r="S370" s="76">
        <v>3.7310970511384851</v>
      </c>
      <c r="T370" s="66">
        <v>3.651277276147479</v>
      </c>
      <c r="U370" s="67">
        <f t="shared" si="17"/>
        <v>3.691187163642982</v>
      </c>
      <c r="V370" s="66">
        <v>3.6983030093393281</v>
      </c>
    </row>
    <row r="371" spans="1:22">
      <c r="A371" s="33" t="s">
        <v>100</v>
      </c>
      <c r="B371" s="37" t="s">
        <v>82</v>
      </c>
      <c r="C371" s="37" t="s">
        <v>22</v>
      </c>
      <c r="D371" s="35">
        <v>38</v>
      </c>
      <c r="E371" s="35">
        <v>5000</v>
      </c>
      <c r="F371" s="35">
        <v>13</v>
      </c>
      <c r="G371" s="37">
        <v>1</v>
      </c>
      <c r="H371" s="33" t="s">
        <v>197</v>
      </c>
      <c r="I371" s="33">
        <v>4</v>
      </c>
      <c r="J371" s="33">
        <v>4</v>
      </c>
      <c r="K371" s="33" t="s">
        <v>276</v>
      </c>
      <c r="L371" s="33" t="s">
        <v>157</v>
      </c>
      <c r="M371" s="43" t="s">
        <v>324</v>
      </c>
      <c r="N371" s="35">
        <v>0</v>
      </c>
      <c r="O371" s="51">
        <v>1.6689999999999827</v>
      </c>
      <c r="P371" s="51">
        <v>1.6689999999999827</v>
      </c>
      <c r="Q371" s="64">
        <v>1</v>
      </c>
      <c r="R371" s="76">
        <v>3.5479769820971869</v>
      </c>
      <c r="S371" s="76">
        <v>3.5479769820971869</v>
      </c>
      <c r="T371" s="66">
        <v>3.4889619326500729</v>
      </c>
      <c r="U371" s="67">
        <f t="shared" si="17"/>
        <v>3.5184694573736301</v>
      </c>
      <c r="V371" s="66">
        <v>3.5223851825842698</v>
      </c>
    </row>
    <row r="372" spans="1:22">
      <c r="A372" s="33" t="s">
        <v>100</v>
      </c>
      <c r="B372" s="37" t="s">
        <v>82</v>
      </c>
      <c r="C372" s="37" t="s">
        <v>22</v>
      </c>
      <c r="D372" s="35">
        <v>38</v>
      </c>
      <c r="E372" s="35">
        <v>5000</v>
      </c>
      <c r="F372" s="35">
        <v>13</v>
      </c>
      <c r="G372" s="37">
        <v>1</v>
      </c>
      <c r="H372" s="33" t="s">
        <v>197</v>
      </c>
      <c r="I372" s="33">
        <v>5</v>
      </c>
      <c r="J372" s="33"/>
      <c r="K372" s="33" t="s">
        <v>276</v>
      </c>
      <c r="L372" s="33" t="s">
        <v>156</v>
      </c>
      <c r="M372" s="43" t="s">
        <v>324</v>
      </c>
      <c r="N372" s="35"/>
      <c r="O372" s="51"/>
      <c r="P372" s="51"/>
      <c r="Q372" s="64"/>
    </row>
    <row r="373" spans="1:22">
      <c r="A373" s="33" t="s">
        <v>100</v>
      </c>
      <c r="B373" s="37" t="s">
        <v>82</v>
      </c>
      <c r="C373" s="37" t="s">
        <v>22</v>
      </c>
      <c r="D373" s="35">
        <v>38</v>
      </c>
      <c r="E373" s="35">
        <v>5000</v>
      </c>
      <c r="F373" s="35">
        <v>13</v>
      </c>
      <c r="G373" s="37">
        <v>1</v>
      </c>
      <c r="H373" s="33" t="s">
        <v>197</v>
      </c>
      <c r="I373" s="33">
        <v>6</v>
      </c>
      <c r="J373" s="33">
        <v>5</v>
      </c>
      <c r="K373" s="33" t="s">
        <v>275</v>
      </c>
      <c r="L373" s="33" t="s">
        <v>153</v>
      </c>
      <c r="M373" s="43" t="s">
        <v>324</v>
      </c>
      <c r="N373" s="35">
        <v>4.0000000000000002E-4</v>
      </c>
      <c r="O373" s="51">
        <v>2.8090000000001965</v>
      </c>
      <c r="P373" s="51">
        <v>2.8090000000001965</v>
      </c>
      <c r="Q373" s="64">
        <v>1</v>
      </c>
      <c r="R373" s="76">
        <v>3.4920563071297992</v>
      </c>
      <c r="S373" s="76">
        <v>3.4920563071297992</v>
      </c>
      <c r="T373" s="66">
        <v>3.454096564885496</v>
      </c>
      <c r="U373" s="67">
        <f t="shared" ref="U373:U379" si="18">AVERAGE(S373:T373)</f>
        <v>3.4730764360076476</v>
      </c>
      <c r="V373" s="66">
        <v>3.4869071274298058</v>
      </c>
    </row>
    <row r="374" spans="1:22">
      <c r="A374" s="33" t="s">
        <v>100</v>
      </c>
      <c r="B374" s="37" t="s">
        <v>82</v>
      </c>
      <c r="C374" s="37" t="s">
        <v>21</v>
      </c>
      <c r="D374" s="35">
        <v>38</v>
      </c>
      <c r="E374" s="35">
        <v>5000</v>
      </c>
      <c r="F374" s="35">
        <v>13</v>
      </c>
      <c r="G374" s="37">
        <v>2</v>
      </c>
      <c r="H374" s="33" t="s">
        <v>194</v>
      </c>
      <c r="I374" s="33">
        <v>1</v>
      </c>
      <c r="J374" s="33">
        <v>1</v>
      </c>
      <c r="K374" s="33" t="s">
        <v>275</v>
      </c>
      <c r="L374" s="33" t="s">
        <v>153</v>
      </c>
      <c r="M374" s="43" t="s">
        <v>325</v>
      </c>
      <c r="N374" s="35">
        <v>0</v>
      </c>
      <c r="O374" s="51">
        <v>3.5520000000000209</v>
      </c>
      <c r="P374" s="51">
        <v>3.5520000000000209</v>
      </c>
      <c r="Q374" s="64">
        <v>1</v>
      </c>
      <c r="R374" s="76">
        <v>3.6990291620524172</v>
      </c>
      <c r="S374" s="76">
        <v>3.6990291620524172</v>
      </c>
      <c r="T374" s="66">
        <v>3.6638737037037039</v>
      </c>
      <c r="U374" s="67">
        <f t="shared" si="18"/>
        <v>3.6814514328780605</v>
      </c>
      <c r="V374" s="66">
        <v>3.6877908567314619</v>
      </c>
    </row>
    <row r="375" spans="1:22">
      <c r="A375" s="33" t="s">
        <v>100</v>
      </c>
      <c r="B375" s="37" t="s">
        <v>82</v>
      </c>
      <c r="C375" s="37" t="s">
        <v>21</v>
      </c>
      <c r="D375" s="35">
        <v>38</v>
      </c>
      <c r="E375" s="35">
        <v>5000</v>
      </c>
      <c r="F375" s="35">
        <v>13</v>
      </c>
      <c r="G375" s="37">
        <v>2</v>
      </c>
      <c r="H375" s="33" t="s">
        <v>194</v>
      </c>
      <c r="I375" s="33">
        <v>2</v>
      </c>
      <c r="J375" s="33">
        <v>2</v>
      </c>
      <c r="K375" s="33" t="s">
        <v>276</v>
      </c>
      <c r="L375" s="33" t="s">
        <v>154</v>
      </c>
      <c r="M375" s="43" t="s">
        <v>325</v>
      </c>
      <c r="N375" s="35">
        <v>0</v>
      </c>
      <c r="O375" s="51">
        <v>0.40099999999995362</v>
      </c>
      <c r="P375" s="51">
        <v>0.40099999999995362</v>
      </c>
      <c r="Q375" s="64">
        <v>1</v>
      </c>
      <c r="R375" s="76">
        <v>3.542027901785715</v>
      </c>
      <c r="S375" s="76">
        <v>3.542027901785715</v>
      </c>
      <c r="T375" s="66">
        <v>3.5532418498862768</v>
      </c>
      <c r="U375" s="67">
        <f t="shared" si="18"/>
        <v>3.5476348758359961</v>
      </c>
      <c r="V375" s="66">
        <v>3.549320099255584</v>
      </c>
    </row>
    <row r="376" spans="1:22">
      <c r="A376" s="33" t="s">
        <v>100</v>
      </c>
      <c r="B376" s="37" t="s">
        <v>82</v>
      </c>
      <c r="C376" s="37" t="s">
        <v>21</v>
      </c>
      <c r="D376" s="35">
        <v>38</v>
      </c>
      <c r="E376" s="35">
        <v>5000</v>
      </c>
      <c r="F376" s="35">
        <v>13</v>
      </c>
      <c r="G376" s="37">
        <v>2</v>
      </c>
      <c r="H376" s="33" t="s">
        <v>194</v>
      </c>
      <c r="I376" s="33">
        <v>3</v>
      </c>
      <c r="J376" s="33">
        <v>3</v>
      </c>
      <c r="K376" s="33" t="s">
        <v>276</v>
      </c>
      <c r="L376" s="33" t="s">
        <v>155</v>
      </c>
      <c r="M376" s="43" t="s">
        <v>270</v>
      </c>
      <c r="N376" s="35">
        <v>0</v>
      </c>
      <c r="O376" s="51">
        <v>2.5209999999999582</v>
      </c>
      <c r="P376" s="51">
        <v>2.5209999999999582</v>
      </c>
      <c r="Q376" s="64">
        <v>1</v>
      </c>
      <c r="R376" s="76">
        <v>3.465915508021391</v>
      </c>
      <c r="S376" s="76">
        <v>3.465915508021391</v>
      </c>
      <c r="T376" s="66">
        <v>3.4583517569546118</v>
      </c>
      <c r="U376" s="67">
        <f t="shared" si="18"/>
        <v>3.4621336324880012</v>
      </c>
      <c r="V376" s="66">
        <v>3.4663198324022351</v>
      </c>
    </row>
    <row r="377" spans="1:22">
      <c r="A377" s="33" t="s">
        <v>100</v>
      </c>
      <c r="B377" s="37" t="s">
        <v>82</v>
      </c>
      <c r="C377" s="37" t="s">
        <v>21</v>
      </c>
      <c r="D377" s="35">
        <v>38</v>
      </c>
      <c r="E377" s="35">
        <v>5000</v>
      </c>
      <c r="F377" s="35">
        <v>13</v>
      </c>
      <c r="G377" s="37">
        <v>2</v>
      </c>
      <c r="H377" s="33" t="s">
        <v>194</v>
      </c>
      <c r="I377" s="33">
        <v>4</v>
      </c>
      <c r="J377" s="33"/>
      <c r="K377" s="33" t="s">
        <v>275</v>
      </c>
      <c r="L377" s="33" t="s">
        <v>156</v>
      </c>
      <c r="M377" s="43" t="s">
        <v>270</v>
      </c>
      <c r="N377" s="35"/>
      <c r="O377" s="51"/>
      <c r="P377" s="51"/>
      <c r="Q377" s="64"/>
      <c r="R377" s="76">
        <v>5.2119999999999997</v>
      </c>
      <c r="S377" s="76">
        <v>5.2119999999999997</v>
      </c>
      <c r="T377" s="66">
        <v>4.7309999999999999</v>
      </c>
      <c r="U377" s="67">
        <f t="shared" si="18"/>
        <v>4.9714999999999998</v>
      </c>
      <c r="V377" s="66">
        <v>4.9710000000000001</v>
      </c>
    </row>
    <row r="378" spans="1:22">
      <c r="A378" s="33" t="s">
        <v>100</v>
      </c>
      <c r="B378" s="37" t="s">
        <v>82</v>
      </c>
      <c r="C378" s="37" t="s">
        <v>21</v>
      </c>
      <c r="D378" s="35">
        <v>38</v>
      </c>
      <c r="E378" s="35">
        <v>5000</v>
      </c>
      <c r="F378" s="35">
        <v>13</v>
      </c>
      <c r="G378" s="37">
        <v>2</v>
      </c>
      <c r="H378" s="33" t="s">
        <v>194</v>
      </c>
      <c r="I378" s="33">
        <v>5</v>
      </c>
      <c r="J378" s="33">
        <v>4</v>
      </c>
      <c r="K378" s="33" t="s">
        <v>276</v>
      </c>
      <c r="L378" s="33" t="s">
        <v>157</v>
      </c>
      <c r="M378" s="43" t="s">
        <v>270</v>
      </c>
      <c r="N378" s="35">
        <v>0</v>
      </c>
      <c r="O378" s="51">
        <v>3.22199999999998</v>
      </c>
      <c r="P378" s="51">
        <v>3.22199999999998</v>
      </c>
      <c r="Q378" s="64">
        <v>1</v>
      </c>
      <c r="R378" s="76">
        <v>3.4135463071512309</v>
      </c>
      <c r="S378" s="76">
        <v>3.4135463071512309</v>
      </c>
      <c r="T378" s="66">
        <v>3.4228175235336709</v>
      </c>
      <c r="U378" s="67">
        <f t="shared" si="18"/>
        <v>3.4181819153424509</v>
      </c>
      <c r="V378" s="66">
        <v>3.4253376712328771</v>
      </c>
    </row>
    <row r="379" spans="1:22">
      <c r="A379" s="33" t="s">
        <v>100</v>
      </c>
      <c r="B379" s="37" t="s">
        <v>82</v>
      </c>
      <c r="C379" s="37" t="s">
        <v>21</v>
      </c>
      <c r="D379" s="35">
        <v>38</v>
      </c>
      <c r="E379" s="35">
        <v>5000</v>
      </c>
      <c r="F379" s="35">
        <v>13</v>
      </c>
      <c r="G379" s="37">
        <v>2</v>
      </c>
      <c r="H379" s="33" t="s">
        <v>194</v>
      </c>
      <c r="I379" s="33">
        <v>6</v>
      </c>
      <c r="J379" s="33">
        <v>5</v>
      </c>
      <c r="K379" s="33" t="s">
        <v>275</v>
      </c>
      <c r="L379" s="33" t="s">
        <v>158</v>
      </c>
      <c r="M379" s="43" t="s">
        <v>270</v>
      </c>
      <c r="N379" s="35">
        <v>3.0999999999999999E-3</v>
      </c>
      <c r="O379" s="51">
        <v>1.4200000000000728</v>
      </c>
      <c r="P379" s="51">
        <v>1.4200000000000728</v>
      </c>
      <c r="Q379" s="64">
        <v>1</v>
      </c>
      <c r="R379" s="76">
        <v>3.4300528240552621</v>
      </c>
      <c r="S379" s="76">
        <v>3.4300528240552621</v>
      </c>
      <c r="T379" s="66">
        <v>3.458008502024291</v>
      </c>
      <c r="U379" s="67">
        <f t="shared" si="18"/>
        <v>3.4440306630397766</v>
      </c>
      <c r="V379" s="66">
        <v>3.4625659199412411</v>
      </c>
    </row>
    <row r="380" spans="1:22">
      <c r="A380" s="33" t="s">
        <v>100</v>
      </c>
      <c r="B380" s="37" t="s">
        <v>82</v>
      </c>
      <c r="C380" s="37" t="s">
        <v>14</v>
      </c>
      <c r="D380" s="35">
        <v>38</v>
      </c>
      <c r="E380" s="35">
        <v>5000</v>
      </c>
      <c r="F380" s="35">
        <v>13</v>
      </c>
      <c r="G380" s="37">
        <v>3</v>
      </c>
      <c r="H380" s="33" t="s">
        <v>199</v>
      </c>
      <c r="I380" s="33">
        <v>1</v>
      </c>
      <c r="J380" s="33"/>
      <c r="K380" s="33" t="s">
        <v>276</v>
      </c>
      <c r="L380" s="33" t="s">
        <v>156</v>
      </c>
      <c r="M380" s="43" t="s">
        <v>326</v>
      </c>
      <c r="N380" s="35"/>
      <c r="O380" s="51"/>
      <c r="P380" s="51"/>
      <c r="Q380" s="64"/>
    </row>
    <row r="381" spans="1:22">
      <c r="A381" s="33" t="s">
        <v>100</v>
      </c>
      <c r="B381" s="37" t="s">
        <v>82</v>
      </c>
      <c r="C381" s="37" t="s">
        <v>14</v>
      </c>
      <c r="D381" s="35">
        <v>38</v>
      </c>
      <c r="E381" s="35">
        <v>5000</v>
      </c>
      <c r="F381" s="35">
        <v>13</v>
      </c>
      <c r="G381" s="37">
        <v>3</v>
      </c>
      <c r="H381" s="33" t="s">
        <v>199</v>
      </c>
      <c r="I381" s="33">
        <v>2</v>
      </c>
      <c r="J381" s="33">
        <v>1</v>
      </c>
      <c r="K381" s="33" t="s">
        <v>275</v>
      </c>
      <c r="L381" s="33" t="s">
        <v>157</v>
      </c>
      <c r="M381" s="43" t="s">
        <v>326</v>
      </c>
      <c r="N381" s="35">
        <v>0</v>
      </c>
      <c r="O381" s="51">
        <v>7.9900000000000091</v>
      </c>
      <c r="P381" s="51">
        <v>7.9900000000000091</v>
      </c>
      <c r="Q381" s="64">
        <v>1</v>
      </c>
      <c r="R381" s="76">
        <v>3.505819717203456</v>
      </c>
      <c r="S381" s="76">
        <v>3.505819717203456</v>
      </c>
      <c r="T381" s="66">
        <v>3.4668580416830519</v>
      </c>
      <c r="U381" s="67">
        <f t="shared" ref="U381:U394" si="19">AVERAGE(S381:T381)</f>
        <v>3.4863388794432542</v>
      </c>
      <c r="V381" s="66">
        <v>3.4934737967914442</v>
      </c>
    </row>
    <row r="382" spans="1:22">
      <c r="A382" s="33" t="s">
        <v>100</v>
      </c>
      <c r="B382" s="37" t="s">
        <v>82</v>
      </c>
      <c r="C382" s="37" t="s">
        <v>14</v>
      </c>
      <c r="D382" s="35">
        <v>38</v>
      </c>
      <c r="E382" s="35">
        <v>5000</v>
      </c>
      <c r="F382" s="35">
        <v>13</v>
      </c>
      <c r="G382" s="37">
        <v>3</v>
      </c>
      <c r="H382" s="33" t="s">
        <v>199</v>
      </c>
      <c r="I382" s="33">
        <v>3</v>
      </c>
      <c r="J382" s="33">
        <v>2</v>
      </c>
      <c r="K382" s="33" t="s">
        <v>276</v>
      </c>
      <c r="L382" s="33" t="s">
        <v>153</v>
      </c>
      <c r="M382" s="43" t="s">
        <v>203</v>
      </c>
      <c r="N382" s="35">
        <v>0</v>
      </c>
      <c r="O382" s="51">
        <v>3.6900000000000546</v>
      </c>
      <c r="P382" s="51">
        <v>3.6900000000000546</v>
      </c>
      <c r="Q382" s="64">
        <v>1</v>
      </c>
      <c r="R382" s="76">
        <v>3.4354117647058819</v>
      </c>
      <c r="S382" s="76">
        <v>3.4354117647058819</v>
      </c>
      <c r="T382" s="66">
        <v>3.3772546583850929</v>
      </c>
      <c r="U382" s="67">
        <f t="shared" si="19"/>
        <v>3.4063332115454874</v>
      </c>
      <c r="V382" s="66">
        <v>3.4133351196856019</v>
      </c>
    </row>
    <row r="383" spans="1:22">
      <c r="A383" s="33" t="s">
        <v>100</v>
      </c>
      <c r="B383" s="37" t="s">
        <v>82</v>
      </c>
      <c r="C383" s="37" t="s">
        <v>14</v>
      </c>
      <c r="D383" s="35">
        <v>38</v>
      </c>
      <c r="E383" s="35">
        <v>5000</v>
      </c>
      <c r="F383" s="35">
        <v>13</v>
      </c>
      <c r="G383" s="37">
        <v>3</v>
      </c>
      <c r="H383" s="33" t="s">
        <v>199</v>
      </c>
      <c r="I383" s="33">
        <v>4</v>
      </c>
      <c r="J383" s="33">
        <v>3</v>
      </c>
      <c r="K383" s="33" t="s">
        <v>276</v>
      </c>
      <c r="L383" s="33" t="s">
        <v>158</v>
      </c>
      <c r="M383" s="43" t="s">
        <v>203</v>
      </c>
      <c r="N383" s="35">
        <v>0</v>
      </c>
      <c r="O383" s="51">
        <v>-1.2300000000000182</v>
      </c>
      <c r="P383" s="51">
        <v>-1.2300000000000182</v>
      </c>
      <c r="Q383" s="64">
        <v>1</v>
      </c>
      <c r="R383" s="76">
        <v>3.593102365257852</v>
      </c>
      <c r="S383" s="76">
        <v>3.593102365257852</v>
      </c>
      <c r="T383" s="66">
        <v>3.5691469696969702</v>
      </c>
      <c r="U383" s="67">
        <f t="shared" si="19"/>
        <v>3.5811246674774111</v>
      </c>
      <c r="V383" s="66">
        <v>3.584639448568399</v>
      </c>
    </row>
    <row r="384" spans="1:22">
      <c r="A384" s="33" t="s">
        <v>100</v>
      </c>
      <c r="B384" s="37" t="s">
        <v>82</v>
      </c>
      <c r="C384" s="37" t="s">
        <v>14</v>
      </c>
      <c r="D384" s="35">
        <v>38</v>
      </c>
      <c r="E384" s="35">
        <v>5000</v>
      </c>
      <c r="F384" s="35">
        <v>13</v>
      </c>
      <c r="G384" s="37">
        <v>3</v>
      </c>
      <c r="H384" s="33" t="s">
        <v>199</v>
      </c>
      <c r="I384" s="33">
        <v>5</v>
      </c>
      <c r="J384" s="33">
        <v>4</v>
      </c>
      <c r="K384" s="33" t="s">
        <v>275</v>
      </c>
      <c r="L384" s="33" t="s">
        <v>155</v>
      </c>
      <c r="M384" s="43" t="s">
        <v>203</v>
      </c>
      <c r="N384" s="35">
        <v>0</v>
      </c>
      <c r="O384" s="51">
        <v>-1.1689999999999827</v>
      </c>
      <c r="P384" s="51">
        <v>-1.1689999999999827</v>
      </c>
      <c r="Q384" s="64">
        <v>1</v>
      </c>
      <c r="R384" s="76">
        <v>3.4384790888722931</v>
      </c>
      <c r="S384" s="76">
        <v>3.4384790888722931</v>
      </c>
      <c r="T384" s="66">
        <v>3.3825627198124271</v>
      </c>
      <c r="U384" s="67">
        <f t="shared" si="19"/>
        <v>3.4105209043423601</v>
      </c>
      <c r="V384" s="66">
        <v>3.4142655760529061</v>
      </c>
    </row>
    <row r="385" spans="1:22">
      <c r="A385" s="33" t="s">
        <v>100</v>
      </c>
      <c r="B385" s="37" t="s">
        <v>82</v>
      </c>
      <c r="C385" s="37" t="s">
        <v>14</v>
      </c>
      <c r="D385" s="35">
        <v>38</v>
      </c>
      <c r="E385" s="35">
        <v>5000</v>
      </c>
      <c r="F385" s="35">
        <v>13</v>
      </c>
      <c r="G385" s="37">
        <v>3</v>
      </c>
      <c r="H385" s="33" t="s">
        <v>199</v>
      </c>
      <c r="I385" s="33">
        <v>6</v>
      </c>
      <c r="J385" s="33">
        <v>5</v>
      </c>
      <c r="K385" s="33" t="s">
        <v>275</v>
      </c>
      <c r="L385" s="33" t="s">
        <v>154</v>
      </c>
      <c r="M385" s="43" t="s">
        <v>203</v>
      </c>
      <c r="N385" s="35">
        <v>0</v>
      </c>
      <c r="O385" s="51">
        <v>4.2000000000000455</v>
      </c>
      <c r="P385" s="51">
        <v>4.2000000000000455</v>
      </c>
      <c r="Q385" s="64">
        <v>1</v>
      </c>
      <c r="R385" s="76">
        <v>3.4878186487554328</v>
      </c>
      <c r="S385" s="76">
        <v>3.4878186487554328</v>
      </c>
      <c r="T385" s="66">
        <v>3.461223395931142</v>
      </c>
      <c r="U385" s="67">
        <f t="shared" si="19"/>
        <v>3.4745210223432874</v>
      </c>
      <c r="V385" s="66">
        <v>3.4738286738351261</v>
      </c>
    </row>
    <row r="386" spans="1:22">
      <c r="A386" s="32" t="s">
        <v>101</v>
      </c>
      <c r="B386" s="35" t="s">
        <v>82</v>
      </c>
      <c r="C386" s="35" t="s">
        <v>21</v>
      </c>
      <c r="D386" s="35">
        <v>40</v>
      </c>
      <c r="E386" s="35">
        <v>8000</v>
      </c>
      <c r="F386" s="35">
        <v>13</v>
      </c>
      <c r="G386" s="35">
        <v>1</v>
      </c>
      <c r="H386" s="32" t="s">
        <v>197</v>
      </c>
      <c r="I386" s="32">
        <v>1</v>
      </c>
      <c r="J386" s="32">
        <v>1</v>
      </c>
      <c r="K386" s="32" t="s">
        <v>275</v>
      </c>
      <c r="L386" s="32" t="s">
        <v>154</v>
      </c>
      <c r="M386" s="42" t="s">
        <v>327</v>
      </c>
      <c r="N386" s="35">
        <v>0</v>
      </c>
      <c r="O386" s="51">
        <v>2.0439999999999827</v>
      </c>
      <c r="P386" s="51">
        <v>2.0439999999999827</v>
      </c>
      <c r="Q386" s="64">
        <v>1</v>
      </c>
      <c r="R386" s="76">
        <v>3.238862444671434</v>
      </c>
      <c r="S386" s="76">
        <v>3.238862444671434</v>
      </c>
      <c r="T386" s="66">
        <v>3.1905274133871511</v>
      </c>
      <c r="U386" s="67">
        <f t="shared" si="19"/>
        <v>3.2146949290292923</v>
      </c>
      <c r="V386" s="66">
        <v>3.2170857524190861</v>
      </c>
    </row>
    <row r="387" spans="1:22">
      <c r="A387" s="32" t="s">
        <v>101</v>
      </c>
      <c r="B387" s="35" t="s">
        <v>82</v>
      </c>
      <c r="C387" s="35" t="s">
        <v>21</v>
      </c>
      <c r="D387" s="35">
        <v>40</v>
      </c>
      <c r="E387" s="35">
        <v>8000</v>
      </c>
      <c r="F387" s="35">
        <v>13</v>
      </c>
      <c r="G387" s="35">
        <v>1</v>
      </c>
      <c r="H387" s="32" t="s">
        <v>197</v>
      </c>
      <c r="I387" s="32">
        <v>2</v>
      </c>
      <c r="J387" s="32">
        <v>2</v>
      </c>
      <c r="K387" s="32" t="s">
        <v>276</v>
      </c>
      <c r="L387" s="32" t="s">
        <v>155</v>
      </c>
      <c r="M387" s="42" t="s">
        <v>327</v>
      </c>
      <c r="N387" s="35">
        <v>0</v>
      </c>
      <c r="O387" s="51">
        <v>1.9180000000000064</v>
      </c>
      <c r="P387" s="51">
        <v>1.9180000000000064</v>
      </c>
      <c r="Q387" s="64">
        <v>1</v>
      </c>
      <c r="R387" s="76">
        <v>3.1516034305317331</v>
      </c>
      <c r="S387" s="76">
        <v>3.1516034305317331</v>
      </c>
      <c r="T387" s="66">
        <v>3.1159471186440681</v>
      </c>
      <c r="U387" s="67">
        <f t="shared" si="19"/>
        <v>3.1337752745879008</v>
      </c>
      <c r="V387" s="66">
        <v>3.1465992647058818</v>
      </c>
    </row>
    <row r="388" spans="1:22">
      <c r="A388" s="32" t="s">
        <v>101</v>
      </c>
      <c r="B388" s="35" t="s">
        <v>82</v>
      </c>
      <c r="C388" s="35" t="s">
        <v>21</v>
      </c>
      <c r="D388" s="35">
        <v>40</v>
      </c>
      <c r="E388" s="35">
        <v>8000</v>
      </c>
      <c r="F388" s="35">
        <v>13</v>
      </c>
      <c r="G388" s="35">
        <v>1</v>
      </c>
      <c r="H388" s="32" t="s">
        <v>197</v>
      </c>
      <c r="I388" s="32">
        <v>3</v>
      </c>
      <c r="J388" s="32">
        <v>3</v>
      </c>
      <c r="K388" s="32" t="s">
        <v>275</v>
      </c>
      <c r="L388" s="32" t="s">
        <v>158</v>
      </c>
      <c r="M388" s="42" t="s">
        <v>327</v>
      </c>
      <c r="N388" s="35">
        <v>0</v>
      </c>
      <c r="O388" s="51">
        <v>2.5410000000000537</v>
      </c>
      <c r="P388" s="51">
        <v>2.5410000000000537</v>
      </c>
      <c r="Q388" s="64">
        <v>1</v>
      </c>
      <c r="R388" s="76">
        <v>3.3031141246917932</v>
      </c>
      <c r="S388" s="76">
        <v>3.3031141246917932</v>
      </c>
      <c r="T388" s="66">
        <v>3.263225318197454</v>
      </c>
      <c r="U388" s="67">
        <f t="shared" si="19"/>
        <v>3.2831697214446236</v>
      </c>
      <c r="V388" s="66">
        <v>3.292811511275664</v>
      </c>
    </row>
    <row r="389" spans="1:22">
      <c r="A389" s="32" t="s">
        <v>101</v>
      </c>
      <c r="B389" s="35" t="s">
        <v>82</v>
      </c>
      <c r="C389" s="35" t="s">
        <v>21</v>
      </c>
      <c r="D389" s="35">
        <v>40</v>
      </c>
      <c r="E389" s="35">
        <v>8000</v>
      </c>
      <c r="F389" s="35">
        <v>13</v>
      </c>
      <c r="G389" s="35">
        <v>1</v>
      </c>
      <c r="H389" s="32" t="s">
        <v>197</v>
      </c>
      <c r="I389" s="32">
        <v>4</v>
      </c>
      <c r="J389" s="32">
        <v>4</v>
      </c>
      <c r="K389" s="32" t="s">
        <v>276</v>
      </c>
      <c r="L389" s="32" t="s">
        <v>157</v>
      </c>
      <c r="M389" s="42" t="s">
        <v>327</v>
      </c>
      <c r="N389" s="35">
        <v>0</v>
      </c>
      <c r="O389" s="51">
        <v>1.6840000000000828</v>
      </c>
      <c r="P389" s="51">
        <v>1.6840000000000828</v>
      </c>
      <c r="Q389" s="64">
        <v>1</v>
      </c>
      <c r="R389" s="76">
        <v>3.1887089447938508</v>
      </c>
      <c r="S389" s="76">
        <v>3.1887089447938508</v>
      </c>
      <c r="T389" s="66">
        <v>3.1410953856749311</v>
      </c>
      <c r="U389" s="67">
        <f t="shared" si="19"/>
        <v>3.1649021652343912</v>
      </c>
      <c r="V389" s="66">
        <v>3.1732519498134959</v>
      </c>
    </row>
    <row r="390" spans="1:22">
      <c r="A390" s="32" t="s">
        <v>101</v>
      </c>
      <c r="B390" s="35" t="s">
        <v>82</v>
      </c>
      <c r="C390" s="35" t="s">
        <v>21</v>
      </c>
      <c r="D390" s="35">
        <v>40</v>
      </c>
      <c r="E390" s="35">
        <v>8000</v>
      </c>
      <c r="F390" s="35">
        <v>13</v>
      </c>
      <c r="G390" s="35">
        <v>1</v>
      </c>
      <c r="H390" s="32" t="s">
        <v>197</v>
      </c>
      <c r="I390" s="32">
        <v>5</v>
      </c>
      <c r="K390" s="32" t="s">
        <v>276</v>
      </c>
      <c r="L390" s="32" t="s">
        <v>156</v>
      </c>
      <c r="M390" s="42" t="s">
        <v>327</v>
      </c>
      <c r="N390" s="35">
        <v>0</v>
      </c>
      <c r="O390" s="51"/>
      <c r="P390" s="51"/>
      <c r="Q390" s="64"/>
      <c r="R390" s="76">
        <v>3.133599717613837</v>
      </c>
      <c r="S390" s="76">
        <v>3.133599717613837</v>
      </c>
      <c r="T390" s="66">
        <v>3.0829201520912548</v>
      </c>
      <c r="U390" s="67">
        <f t="shared" si="19"/>
        <v>3.1082599348525459</v>
      </c>
      <c r="V390" s="66">
        <v>3.117785714285715</v>
      </c>
    </row>
    <row r="391" spans="1:22">
      <c r="A391" s="32" t="s">
        <v>101</v>
      </c>
      <c r="B391" s="35" t="s">
        <v>82</v>
      </c>
      <c r="C391" s="35" t="s">
        <v>21</v>
      </c>
      <c r="D391" s="35">
        <v>40</v>
      </c>
      <c r="E391" s="35">
        <v>8000</v>
      </c>
      <c r="F391" s="35">
        <v>13</v>
      </c>
      <c r="G391" s="35">
        <v>1</v>
      </c>
      <c r="H391" s="32" t="s">
        <v>197</v>
      </c>
      <c r="I391" s="32">
        <v>6</v>
      </c>
      <c r="J391" s="32">
        <v>5</v>
      </c>
      <c r="K391" s="32" t="s">
        <v>275</v>
      </c>
      <c r="L391" s="32" t="s">
        <v>153</v>
      </c>
      <c r="M391" s="42" t="s">
        <v>327</v>
      </c>
      <c r="N391" s="35">
        <v>4.0000000000000002E-4</v>
      </c>
      <c r="O391" s="51">
        <v>0.73499999999989996</v>
      </c>
      <c r="P391" s="51">
        <v>0.73499999999989996</v>
      </c>
      <c r="Q391" s="64">
        <v>1</v>
      </c>
      <c r="R391" s="76">
        <v>3.1248831959871008</v>
      </c>
      <c r="S391" s="76">
        <v>3.1248831959871008</v>
      </c>
      <c r="T391" s="66">
        <v>3.087972076788831</v>
      </c>
      <c r="U391" s="67">
        <f t="shared" si="19"/>
        <v>3.1064276363879659</v>
      </c>
      <c r="V391" s="66">
        <v>3.119690976933513</v>
      </c>
    </row>
    <row r="392" spans="1:22">
      <c r="A392" s="32" t="s">
        <v>101</v>
      </c>
      <c r="B392" s="35" t="s">
        <v>82</v>
      </c>
      <c r="C392" s="35" t="s">
        <v>14</v>
      </c>
      <c r="D392" s="35">
        <v>40</v>
      </c>
      <c r="E392" s="35">
        <v>8000</v>
      </c>
      <c r="F392" s="35">
        <v>13</v>
      </c>
      <c r="G392" s="35">
        <v>2</v>
      </c>
      <c r="H392" s="32" t="s">
        <v>194</v>
      </c>
      <c r="I392" s="32">
        <v>1</v>
      </c>
      <c r="J392" s="32">
        <v>1</v>
      </c>
      <c r="K392" s="32" t="s">
        <v>275</v>
      </c>
      <c r="L392" s="32" t="s">
        <v>153</v>
      </c>
      <c r="M392" s="42" t="s">
        <v>328</v>
      </c>
      <c r="N392" s="35">
        <v>0</v>
      </c>
      <c r="O392" s="51">
        <v>1.6589999999999918</v>
      </c>
      <c r="P392" s="51">
        <v>1.6589999999999918</v>
      </c>
      <c r="Q392" s="64">
        <v>1</v>
      </c>
      <c r="R392" s="76">
        <v>3.1828299553418069</v>
      </c>
      <c r="S392" s="76">
        <v>3.1828299553418069</v>
      </c>
      <c r="T392" s="66">
        <v>3.1084293459844119</v>
      </c>
      <c r="U392" s="67">
        <f t="shared" si="19"/>
        <v>3.1456296506631096</v>
      </c>
      <c r="V392" s="66">
        <v>3.1554251757616338</v>
      </c>
    </row>
    <row r="393" spans="1:22">
      <c r="A393" s="32" t="s">
        <v>101</v>
      </c>
      <c r="B393" s="35" t="s">
        <v>82</v>
      </c>
      <c r="C393" s="35" t="s">
        <v>14</v>
      </c>
      <c r="D393" s="35">
        <v>40</v>
      </c>
      <c r="E393" s="35">
        <v>8000</v>
      </c>
      <c r="F393" s="35">
        <v>13</v>
      </c>
      <c r="G393" s="35">
        <v>2</v>
      </c>
      <c r="H393" s="32" t="s">
        <v>194</v>
      </c>
      <c r="I393" s="32">
        <v>2</v>
      </c>
      <c r="J393" s="32">
        <v>2</v>
      </c>
      <c r="K393" s="32" t="s">
        <v>276</v>
      </c>
      <c r="L393" s="32" t="s">
        <v>154</v>
      </c>
      <c r="M393" s="42" t="s">
        <v>328</v>
      </c>
      <c r="N393" s="35">
        <v>0.53410000000000002</v>
      </c>
      <c r="O393" s="51">
        <v>6.3450000000000273</v>
      </c>
      <c r="P393" s="51">
        <v>6.3450000000000273</v>
      </c>
      <c r="Q393" s="64">
        <v>1</v>
      </c>
      <c r="R393" s="76">
        <v>3.1554057063326382</v>
      </c>
      <c r="S393" s="76">
        <v>3.1554057063326382</v>
      </c>
      <c r="T393" s="66">
        <v>3.067559466848941</v>
      </c>
      <c r="U393" s="67">
        <f t="shared" si="19"/>
        <v>3.1114825865907898</v>
      </c>
      <c r="V393" s="66">
        <v>3.1376487394957988</v>
      </c>
    </row>
    <row r="394" spans="1:22">
      <c r="A394" s="32" t="s">
        <v>101</v>
      </c>
      <c r="B394" s="35" t="s">
        <v>82</v>
      </c>
      <c r="C394" s="35" t="s">
        <v>14</v>
      </c>
      <c r="D394" s="35">
        <v>40</v>
      </c>
      <c r="E394" s="35">
        <v>8000</v>
      </c>
      <c r="F394" s="35">
        <v>13</v>
      </c>
      <c r="G394" s="35">
        <v>2</v>
      </c>
      <c r="H394" s="32" t="s">
        <v>194</v>
      </c>
      <c r="I394" s="32">
        <v>3</v>
      </c>
      <c r="J394" s="32">
        <v>3</v>
      </c>
      <c r="K394" s="32" t="s">
        <v>276</v>
      </c>
      <c r="L394" s="32" t="s">
        <v>155</v>
      </c>
      <c r="M394" s="42" t="s">
        <v>261</v>
      </c>
      <c r="N394" s="35">
        <v>0</v>
      </c>
      <c r="O394" s="51">
        <v>0.77700000000004366</v>
      </c>
      <c r="P394" s="51">
        <v>0.77700000000004366</v>
      </c>
      <c r="Q394" s="64">
        <v>1</v>
      </c>
      <c r="R394" s="76">
        <v>3.1221681754874639</v>
      </c>
      <c r="S394" s="76">
        <v>3.1221681754874639</v>
      </c>
      <c r="T394" s="66">
        <v>3.025433800889497</v>
      </c>
      <c r="U394" s="67">
        <f t="shared" si="19"/>
        <v>3.0738009881884807</v>
      </c>
      <c r="V394" s="66">
        <v>3.0850817291455588</v>
      </c>
    </row>
    <row r="395" spans="1:22">
      <c r="A395" s="32" t="s">
        <v>101</v>
      </c>
      <c r="B395" s="35" t="s">
        <v>82</v>
      </c>
      <c r="C395" s="35" t="s">
        <v>14</v>
      </c>
      <c r="D395" s="35">
        <v>40</v>
      </c>
      <c r="E395" s="35">
        <v>8000</v>
      </c>
      <c r="F395" s="35">
        <v>13</v>
      </c>
      <c r="G395" s="35">
        <v>2</v>
      </c>
      <c r="H395" s="32" t="s">
        <v>194</v>
      </c>
      <c r="I395" s="32">
        <v>4</v>
      </c>
      <c r="K395" s="32" t="s">
        <v>275</v>
      </c>
      <c r="L395" s="32" t="s">
        <v>156</v>
      </c>
      <c r="M395" s="42" t="s">
        <v>261</v>
      </c>
      <c r="N395" s="35"/>
      <c r="O395" s="51"/>
      <c r="P395" s="51"/>
      <c r="Q395" s="64"/>
    </row>
    <row r="396" spans="1:22">
      <c r="A396" s="32" t="s">
        <v>101</v>
      </c>
      <c r="B396" s="35" t="s">
        <v>82</v>
      </c>
      <c r="C396" s="35" t="s">
        <v>14</v>
      </c>
      <c r="D396" s="35">
        <v>40</v>
      </c>
      <c r="E396" s="35">
        <v>8000</v>
      </c>
      <c r="F396" s="35">
        <v>13</v>
      </c>
      <c r="G396" s="35">
        <v>2</v>
      </c>
      <c r="H396" s="32" t="s">
        <v>194</v>
      </c>
      <c r="I396" s="32">
        <v>5</v>
      </c>
      <c r="J396" s="32">
        <v>4</v>
      </c>
      <c r="K396" s="32" t="s">
        <v>276</v>
      </c>
      <c r="L396" s="32" t="s">
        <v>157</v>
      </c>
      <c r="M396" s="42" t="s">
        <v>261</v>
      </c>
      <c r="N396" s="35">
        <v>0</v>
      </c>
      <c r="O396" s="51">
        <v>4.7980000000000018</v>
      </c>
      <c r="P396" s="51">
        <v>4.7980000000000018</v>
      </c>
      <c r="Q396" s="64">
        <v>1</v>
      </c>
      <c r="R396" s="76">
        <v>3.2099924137931031</v>
      </c>
      <c r="S396" s="76">
        <v>3.2099924137931031</v>
      </c>
      <c r="T396" s="66">
        <v>3.0871330849983072</v>
      </c>
      <c r="U396" s="67">
        <f>AVERAGE(S396:T396)</f>
        <v>3.1485627493957051</v>
      </c>
      <c r="V396" s="66">
        <v>3.1592850935828878</v>
      </c>
    </row>
    <row r="397" spans="1:22">
      <c r="A397" s="32" t="s">
        <v>101</v>
      </c>
      <c r="B397" s="35" t="s">
        <v>82</v>
      </c>
      <c r="C397" s="35" t="s">
        <v>14</v>
      </c>
      <c r="D397" s="35">
        <v>40</v>
      </c>
      <c r="E397" s="35">
        <v>8000</v>
      </c>
      <c r="F397" s="35">
        <v>13</v>
      </c>
      <c r="G397" s="35">
        <v>2</v>
      </c>
      <c r="H397" s="32" t="s">
        <v>194</v>
      </c>
      <c r="I397" s="32">
        <v>6</v>
      </c>
      <c r="J397" s="32">
        <v>5</v>
      </c>
      <c r="K397" s="32" t="s">
        <v>275</v>
      </c>
      <c r="L397" s="32" t="s">
        <v>158</v>
      </c>
      <c r="M397" s="42" t="s">
        <v>261</v>
      </c>
      <c r="N397" s="35">
        <v>0</v>
      </c>
      <c r="O397" s="51">
        <v>3.09699999999998</v>
      </c>
      <c r="P397" s="51">
        <v>3.09699999999998</v>
      </c>
      <c r="Q397" s="64">
        <v>1</v>
      </c>
      <c r="R397" s="76">
        <v>3.090202146690519</v>
      </c>
      <c r="S397" s="76">
        <v>3.090202146690519</v>
      </c>
      <c r="T397" s="66">
        <v>2.9835274305555561</v>
      </c>
      <c r="U397" s="67">
        <f>AVERAGE(S397:T397)</f>
        <v>3.0368647886230375</v>
      </c>
      <c r="V397" s="66">
        <v>3.0696937879810942</v>
      </c>
    </row>
    <row r="398" spans="1:22">
      <c r="A398" s="32" t="s">
        <v>101</v>
      </c>
      <c r="B398" s="35" t="s">
        <v>82</v>
      </c>
      <c r="C398" s="35" t="s">
        <v>22</v>
      </c>
      <c r="D398" s="35">
        <v>40</v>
      </c>
      <c r="E398" s="35">
        <v>8000</v>
      </c>
      <c r="F398" s="35">
        <v>13</v>
      </c>
      <c r="G398" s="35">
        <v>3</v>
      </c>
      <c r="H398" s="32" t="s">
        <v>199</v>
      </c>
      <c r="I398" s="32">
        <v>1</v>
      </c>
      <c r="K398" s="32" t="s">
        <v>276</v>
      </c>
      <c r="L398" s="32" t="s">
        <v>156</v>
      </c>
      <c r="M398" s="42" t="s">
        <v>329</v>
      </c>
      <c r="N398" s="35"/>
      <c r="O398" s="51"/>
      <c r="P398" s="51"/>
      <c r="Q398" s="64"/>
    </row>
    <row r="399" spans="1:22">
      <c r="A399" s="32" t="s">
        <v>101</v>
      </c>
      <c r="B399" s="35" t="s">
        <v>82</v>
      </c>
      <c r="C399" s="35" t="s">
        <v>22</v>
      </c>
      <c r="D399" s="35">
        <v>40</v>
      </c>
      <c r="E399" s="35">
        <v>8000</v>
      </c>
      <c r="F399" s="35">
        <v>13</v>
      </c>
      <c r="G399" s="35">
        <v>3</v>
      </c>
      <c r="H399" s="32" t="s">
        <v>199</v>
      </c>
      <c r="I399" s="32">
        <v>2</v>
      </c>
      <c r="J399" s="32">
        <v>1</v>
      </c>
      <c r="K399" s="32" t="s">
        <v>275</v>
      </c>
      <c r="L399" s="32" t="s">
        <v>157</v>
      </c>
      <c r="M399" s="42" t="s">
        <v>329</v>
      </c>
      <c r="N399" s="35">
        <v>0.46879999999999999</v>
      </c>
      <c r="O399" s="51">
        <v>2.0200000000000387</v>
      </c>
      <c r="P399" s="51">
        <v>2.0200000000000387</v>
      </c>
      <c r="Q399" s="64">
        <v>1</v>
      </c>
      <c r="R399" s="76">
        <v>3.083712585647314</v>
      </c>
      <c r="S399" s="76">
        <v>3.083712585647314</v>
      </c>
      <c r="T399" s="66">
        <v>3.0380710038474992</v>
      </c>
      <c r="U399" s="67">
        <f>AVERAGE(S399:T399)</f>
        <v>3.0608917947474064</v>
      </c>
      <c r="V399" s="66">
        <v>3.1110919579233118</v>
      </c>
    </row>
    <row r="400" spans="1:22">
      <c r="A400" s="32" t="s">
        <v>101</v>
      </c>
      <c r="B400" s="35" t="s">
        <v>82</v>
      </c>
      <c r="C400" s="35" t="s">
        <v>22</v>
      </c>
      <c r="D400" s="35">
        <v>40</v>
      </c>
      <c r="E400" s="35">
        <v>8000</v>
      </c>
      <c r="F400" s="35">
        <v>13</v>
      </c>
      <c r="G400" s="35">
        <v>3</v>
      </c>
      <c r="H400" s="32" t="s">
        <v>199</v>
      </c>
      <c r="I400" s="32">
        <v>3</v>
      </c>
      <c r="J400" s="32">
        <v>2</v>
      </c>
      <c r="K400" s="32" t="s">
        <v>276</v>
      </c>
      <c r="L400" s="32" t="s">
        <v>153</v>
      </c>
      <c r="M400" s="42" t="s">
        <v>271</v>
      </c>
      <c r="N400" s="35">
        <v>3.0599999999999999E-2</v>
      </c>
      <c r="O400" s="51">
        <v>3.4700000000000273</v>
      </c>
      <c r="P400" s="51">
        <v>3.4700000000000273</v>
      </c>
      <c r="Q400" s="64">
        <v>1</v>
      </c>
      <c r="R400" s="76">
        <v>3.1348743927827898</v>
      </c>
      <c r="S400" s="76">
        <v>3.1348743927827898</v>
      </c>
      <c r="T400" s="66">
        <v>3.0766400411381549</v>
      </c>
      <c r="U400" s="67">
        <f>AVERAGE(S400:T400)</f>
        <v>3.1057572169604724</v>
      </c>
      <c r="V400" s="66">
        <v>3.1191939742721728</v>
      </c>
    </row>
    <row r="401" spans="1:22">
      <c r="A401" s="32" t="s">
        <v>101</v>
      </c>
      <c r="B401" s="35" t="s">
        <v>82</v>
      </c>
      <c r="C401" s="35" t="s">
        <v>22</v>
      </c>
      <c r="D401" s="35">
        <v>40</v>
      </c>
      <c r="E401" s="35">
        <v>8000</v>
      </c>
      <c r="F401" s="35">
        <v>13</v>
      </c>
      <c r="G401" s="35">
        <v>3</v>
      </c>
      <c r="H401" s="32" t="s">
        <v>199</v>
      </c>
      <c r="I401" s="32">
        <v>4</v>
      </c>
      <c r="J401" s="32">
        <v>3</v>
      </c>
      <c r="K401" s="32" t="s">
        <v>276</v>
      </c>
      <c r="L401" s="32" t="s">
        <v>158</v>
      </c>
      <c r="M401" s="42" t="s">
        <v>271</v>
      </c>
      <c r="N401" s="35"/>
      <c r="O401" s="51" t="s">
        <v>394</v>
      </c>
      <c r="P401" s="51" t="s">
        <v>394</v>
      </c>
      <c r="Q401" s="64" t="s">
        <v>274</v>
      </c>
    </row>
    <row r="402" spans="1:22">
      <c r="A402" s="32" t="s">
        <v>101</v>
      </c>
      <c r="B402" s="35" t="s">
        <v>82</v>
      </c>
      <c r="C402" s="35" t="s">
        <v>22</v>
      </c>
      <c r="D402" s="35">
        <v>40</v>
      </c>
      <c r="E402" s="35">
        <v>8000</v>
      </c>
      <c r="F402" s="35">
        <v>13</v>
      </c>
      <c r="G402" s="35">
        <v>3</v>
      </c>
      <c r="H402" s="32" t="s">
        <v>199</v>
      </c>
      <c r="I402" s="32">
        <v>5</v>
      </c>
      <c r="J402" s="32">
        <v>4</v>
      </c>
      <c r="K402" s="32" t="s">
        <v>275</v>
      </c>
      <c r="L402" s="32" t="s">
        <v>155</v>
      </c>
      <c r="M402" s="42" t="s">
        <v>271</v>
      </c>
      <c r="N402" s="35">
        <v>4.0000000000000002E-4</v>
      </c>
      <c r="O402" s="51">
        <v>0.89999999999997726</v>
      </c>
      <c r="P402" s="51">
        <v>0.89999999999997726</v>
      </c>
      <c r="Q402" s="64">
        <v>1</v>
      </c>
      <c r="R402" s="76">
        <v>3.0033515431003899</v>
      </c>
      <c r="S402" s="76">
        <v>3.0033515431003899</v>
      </c>
      <c r="T402" s="66">
        <v>2.9686115902035191</v>
      </c>
      <c r="U402" s="67">
        <f t="shared" ref="U402:U430" si="20">AVERAGE(S402:T402)</f>
        <v>2.9859815666519545</v>
      </c>
      <c r="V402" s="66">
        <v>3.0211797715053761</v>
      </c>
    </row>
    <row r="403" spans="1:22">
      <c r="A403" s="32" t="s">
        <v>101</v>
      </c>
      <c r="B403" s="35" t="s">
        <v>82</v>
      </c>
      <c r="C403" s="35" t="s">
        <v>22</v>
      </c>
      <c r="D403" s="35">
        <v>40</v>
      </c>
      <c r="E403" s="35">
        <v>8000</v>
      </c>
      <c r="F403" s="35">
        <v>13</v>
      </c>
      <c r="G403" s="35">
        <v>3</v>
      </c>
      <c r="H403" s="32" t="s">
        <v>199</v>
      </c>
      <c r="I403" s="32">
        <v>6</v>
      </c>
      <c r="J403" s="32">
        <v>5</v>
      </c>
      <c r="K403" s="32" t="s">
        <v>275</v>
      </c>
      <c r="L403" s="32" t="s">
        <v>154</v>
      </c>
      <c r="M403" s="42" t="s">
        <v>271</v>
      </c>
      <c r="N403" s="35">
        <v>1.3299999999999999E-2</v>
      </c>
      <c r="O403" s="51">
        <v>5.4500000000000455</v>
      </c>
      <c r="P403" s="51">
        <v>5.4500000000000455</v>
      </c>
      <c r="Q403" s="64">
        <v>1</v>
      </c>
      <c r="R403" s="76">
        <v>2.9622848441418852</v>
      </c>
      <c r="S403" s="76">
        <v>2.9622848441418852</v>
      </c>
      <c r="T403" s="66">
        <v>2.9183792623521221</v>
      </c>
      <c r="U403" s="67">
        <f t="shared" si="20"/>
        <v>2.9403320532470039</v>
      </c>
      <c r="V403" s="66">
        <v>2.9852215426435609</v>
      </c>
    </row>
    <row r="404" spans="1:22">
      <c r="A404" s="33" t="s">
        <v>102</v>
      </c>
      <c r="B404" s="37" t="s">
        <v>82</v>
      </c>
      <c r="C404" s="37" t="s">
        <v>21</v>
      </c>
      <c r="D404" s="35">
        <v>55</v>
      </c>
      <c r="E404" s="35">
        <v>6000</v>
      </c>
      <c r="F404" s="35">
        <v>38</v>
      </c>
      <c r="G404" s="37">
        <v>1</v>
      </c>
      <c r="H404" s="33" t="s">
        <v>197</v>
      </c>
      <c r="I404" s="33">
        <v>1</v>
      </c>
      <c r="J404" s="33">
        <v>1</v>
      </c>
      <c r="K404" s="33" t="s">
        <v>275</v>
      </c>
      <c r="L404" s="33" t="s">
        <v>154</v>
      </c>
      <c r="M404" s="43" t="s">
        <v>330</v>
      </c>
      <c r="N404" s="35">
        <v>0</v>
      </c>
      <c r="O404" s="51">
        <v>1.4980000000000473</v>
      </c>
      <c r="P404" s="51">
        <v>1.4980000000000473</v>
      </c>
      <c r="Q404" s="64">
        <v>1</v>
      </c>
      <c r="R404" s="76">
        <v>2.2621905723905731</v>
      </c>
      <c r="S404" s="76">
        <v>2.2621905723905731</v>
      </c>
      <c r="T404" s="66">
        <v>2.2731363636363642</v>
      </c>
      <c r="U404" s="67">
        <f t="shared" si="20"/>
        <v>2.2676634680134686</v>
      </c>
      <c r="V404" s="66">
        <v>2.27116962194714</v>
      </c>
    </row>
    <row r="405" spans="1:22">
      <c r="A405" s="33" t="s">
        <v>102</v>
      </c>
      <c r="B405" s="37" t="s">
        <v>82</v>
      </c>
      <c r="C405" s="37" t="s">
        <v>21</v>
      </c>
      <c r="D405" s="35">
        <v>55</v>
      </c>
      <c r="E405" s="35">
        <v>6000</v>
      </c>
      <c r="F405" s="35">
        <v>38</v>
      </c>
      <c r="G405" s="37">
        <v>1</v>
      </c>
      <c r="H405" s="33" t="s">
        <v>197</v>
      </c>
      <c r="I405" s="33">
        <v>2</v>
      </c>
      <c r="J405" s="33">
        <v>2</v>
      </c>
      <c r="K405" s="33" t="s">
        <v>276</v>
      </c>
      <c r="L405" s="33" t="s">
        <v>155</v>
      </c>
      <c r="M405" s="43" t="s">
        <v>330</v>
      </c>
      <c r="N405" s="35">
        <v>0</v>
      </c>
      <c r="O405" s="51">
        <v>0.97000000000002728</v>
      </c>
      <c r="P405" s="51">
        <v>0.97000000000002728</v>
      </c>
      <c r="Q405" s="64">
        <v>1</v>
      </c>
      <c r="R405" s="76">
        <v>2.1994449050086362</v>
      </c>
      <c r="S405" s="76">
        <v>2.1994449050086362</v>
      </c>
      <c r="T405" s="66">
        <v>2.2170841889117039</v>
      </c>
      <c r="U405" s="67">
        <f t="shared" si="20"/>
        <v>2.2082645469601703</v>
      </c>
      <c r="V405" s="66">
        <v>2.2240636089722128</v>
      </c>
    </row>
    <row r="406" spans="1:22">
      <c r="A406" s="33" t="s">
        <v>102</v>
      </c>
      <c r="B406" s="37" t="s">
        <v>82</v>
      </c>
      <c r="C406" s="37" t="s">
        <v>21</v>
      </c>
      <c r="D406" s="35">
        <v>55</v>
      </c>
      <c r="E406" s="35">
        <v>6000</v>
      </c>
      <c r="F406" s="35">
        <v>38</v>
      </c>
      <c r="G406" s="37">
        <v>1</v>
      </c>
      <c r="H406" s="33" t="s">
        <v>197</v>
      </c>
      <c r="I406" s="33">
        <v>3</v>
      </c>
      <c r="J406" s="33">
        <v>3</v>
      </c>
      <c r="K406" s="33" t="s">
        <v>275</v>
      </c>
      <c r="L406" s="33" t="s">
        <v>158</v>
      </c>
      <c r="M406" s="43" t="s">
        <v>330</v>
      </c>
      <c r="N406" s="35">
        <v>0.99139999999999995</v>
      </c>
      <c r="O406" s="51">
        <v>4.7010000000000218</v>
      </c>
      <c r="P406" s="51">
        <v>4.7010000000000218</v>
      </c>
      <c r="Q406" s="64">
        <v>1</v>
      </c>
      <c r="R406" s="76">
        <v>2.1920681431005109</v>
      </c>
      <c r="S406" s="76">
        <v>2.1920681431005109</v>
      </c>
      <c r="T406" s="66">
        <v>2.214339402267262</v>
      </c>
      <c r="U406" s="67">
        <f t="shared" si="20"/>
        <v>2.2032037726838865</v>
      </c>
      <c r="V406" s="66">
        <v>2.2056682337139022</v>
      </c>
    </row>
    <row r="407" spans="1:22">
      <c r="A407" s="33" t="s">
        <v>102</v>
      </c>
      <c r="B407" s="37" t="s">
        <v>82</v>
      </c>
      <c r="C407" s="37" t="s">
        <v>21</v>
      </c>
      <c r="D407" s="35">
        <v>55</v>
      </c>
      <c r="E407" s="35">
        <v>6000</v>
      </c>
      <c r="F407" s="35">
        <v>38</v>
      </c>
      <c r="G407" s="37">
        <v>1</v>
      </c>
      <c r="H407" s="33" t="s">
        <v>197</v>
      </c>
      <c r="I407" s="33">
        <v>4</v>
      </c>
      <c r="J407" s="33">
        <v>4</v>
      </c>
      <c r="K407" s="33" t="s">
        <v>276</v>
      </c>
      <c r="L407" s="33" t="s">
        <v>157</v>
      </c>
      <c r="M407" s="43" t="s">
        <v>330</v>
      </c>
      <c r="N407" s="35">
        <v>0</v>
      </c>
      <c r="O407" s="51">
        <v>2.6009999999999991</v>
      </c>
      <c r="P407" s="51">
        <v>2.6009999999999991</v>
      </c>
      <c r="Q407" s="64">
        <v>1</v>
      </c>
      <c r="R407" s="76">
        <v>2.163024390243903</v>
      </c>
      <c r="S407" s="76">
        <v>2.163024390243903</v>
      </c>
      <c r="T407" s="66">
        <v>2.171503302050747</v>
      </c>
      <c r="U407" s="67">
        <f t="shared" si="20"/>
        <v>2.1672638461473248</v>
      </c>
      <c r="V407" s="66">
        <v>2.1713389888021721</v>
      </c>
    </row>
    <row r="408" spans="1:22">
      <c r="A408" s="33" t="s">
        <v>102</v>
      </c>
      <c r="B408" s="37" t="s">
        <v>82</v>
      </c>
      <c r="C408" s="37" t="s">
        <v>21</v>
      </c>
      <c r="D408" s="35">
        <v>55</v>
      </c>
      <c r="E408" s="35">
        <v>6000</v>
      </c>
      <c r="F408" s="35">
        <v>38</v>
      </c>
      <c r="G408" s="37">
        <v>1</v>
      </c>
      <c r="H408" s="33" t="s">
        <v>197</v>
      </c>
      <c r="I408" s="33">
        <v>5</v>
      </c>
      <c r="J408" s="33"/>
      <c r="K408" s="33" t="s">
        <v>276</v>
      </c>
      <c r="L408" s="33" t="s">
        <v>156</v>
      </c>
      <c r="M408" s="43" t="s">
        <v>330</v>
      </c>
      <c r="N408" s="35">
        <v>0</v>
      </c>
      <c r="O408" s="51"/>
      <c r="P408" s="51"/>
      <c r="Q408" s="64"/>
      <c r="R408" s="76">
        <v>2.4012515506547212</v>
      </c>
      <c r="S408" s="76">
        <v>2.4012515506547212</v>
      </c>
      <c r="T408" s="66">
        <v>2.4253305055989141</v>
      </c>
      <c r="U408" s="67">
        <f t="shared" si="20"/>
        <v>2.4132910281268174</v>
      </c>
      <c r="V408" s="66">
        <v>2.4201953098827471</v>
      </c>
    </row>
    <row r="409" spans="1:22">
      <c r="A409" s="33" t="s">
        <v>102</v>
      </c>
      <c r="B409" s="37" t="s">
        <v>82</v>
      </c>
      <c r="C409" s="37" t="s">
        <v>21</v>
      </c>
      <c r="D409" s="35">
        <v>55</v>
      </c>
      <c r="E409" s="35">
        <v>6000</v>
      </c>
      <c r="F409" s="35">
        <v>38</v>
      </c>
      <c r="G409" s="37">
        <v>1</v>
      </c>
      <c r="H409" s="33" t="s">
        <v>197</v>
      </c>
      <c r="I409" s="33">
        <v>6</v>
      </c>
      <c r="J409" s="33">
        <v>5</v>
      </c>
      <c r="K409" s="33" t="s">
        <v>275</v>
      </c>
      <c r="L409" s="33" t="s">
        <v>153</v>
      </c>
      <c r="M409" s="43" t="s">
        <v>330</v>
      </c>
      <c r="N409" s="35">
        <v>0</v>
      </c>
      <c r="O409" s="51" t="s">
        <v>394</v>
      </c>
      <c r="P409" s="51" t="s">
        <v>394</v>
      </c>
      <c r="Q409" s="64" t="s">
        <v>274</v>
      </c>
      <c r="R409" s="76">
        <v>2.360171626297578</v>
      </c>
      <c r="S409" s="76">
        <v>2.360171626297578</v>
      </c>
      <c r="T409" s="66">
        <v>2.4024636795655119</v>
      </c>
      <c r="U409" s="67">
        <f t="shared" si="20"/>
        <v>2.381317652931545</v>
      </c>
      <c r="V409" s="66">
        <v>2.3868555107526879</v>
      </c>
    </row>
    <row r="410" spans="1:22">
      <c r="A410" s="33" t="s">
        <v>102</v>
      </c>
      <c r="B410" s="37" t="s">
        <v>82</v>
      </c>
      <c r="C410" s="37" t="s">
        <v>22</v>
      </c>
      <c r="D410" s="35">
        <v>55</v>
      </c>
      <c r="E410" s="35">
        <v>6000</v>
      </c>
      <c r="F410" s="35">
        <v>38</v>
      </c>
      <c r="G410" s="37">
        <v>2</v>
      </c>
      <c r="H410" s="33" t="s">
        <v>194</v>
      </c>
      <c r="I410" s="33">
        <v>1</v>
      </c>
      <c r="J410" s="33">
        <v>1</v>
      </c>
      <c r="K410" s="33" t="s">
        <v>275</v>
      </c>
      <c r="L410" s="33" t="s">
        <v>153</v>
      </c>
      <c r="M410" s="43" t="s">
        <v>331</v>
      </c>
      <c r="N410" s="35">
        <v>0</v>
      </c>
      <c r="O410" s="51">
        <v>1.1099999999999852</v>
      </c>
      <c r="P410" s="51">
        <v>1.1099999999999852</v>
      </c>
      <c r="Q410" s="64">
        <v>1</v>
      </c>
      <c r="R410" s="76">
        <v>2.2249758503401358</v>
      </c>
      <c r="S410" s="76">
        <v>2.2249758503401358</v>
      </c>
      <c r="T410" s="66">
        <v>2.2354084362139921</v>
      </c>
      <c r="U410" s="67">
        <f t="shared" si="20"/>
        <v>2.2301921432770637</v>
      </c>
      <c r="V410" s="66">
        <v>2.2334317800871601</v>
      </c>
    </row>
    <row r="411" spans="1:22">
      <c r="A411" s="33" t="s">
        <v>102</v>
      </c>
      <c r="B411" s="37" t="s">
        <v>82</v>
      </c>
      <c r="C411" s="37" t="s">
        <v>22</v>
      </c>
      <c r="D411" s="35">
        <v>55</v>
      </c>
      <c r="E411" s="35">
        <v>6000</v>
      </c>
      <c r="F411" s="35">
        <v>38</v>
      </c>
      <c r="G411" s="37">
        <v>2</v>
      </c>
      <c r="H411" s="33" t="s">
        <v>194</v>
      </c>
      <c r="I411" s="33">
        <v>2</v>
      </c>
      <c r="J411" s="33">
        <v>2</v>
      </c>
      <c r="K411" s="33" t="s">
        <v>276</v>
      </c>
      <c r="L411" s="33" t="s">
        <v>154</v>
      </c>
      <c r="M411" s="43" t="s">
        <v>331</v>
      </c>
      <c r="N411" s="35">
        <v>0</v>
      </c>
      <c r="O411" s="51">
        <v>1.7799999999999727</v>
      </c>
      <c r="P411" s="51">
        <v>1.7799999999999727</v>
      </c>
      <c r="Q411" s="64">
        <v>1</v>
      </c>
      <c r="R411" s="76">
        <v>2.2612594710507499</v>
      </c>
      <c r="S411" s="76">
        <v>2.2612594710507499</v>
      </c>
      <c r="T411" s="66">
        <v>2.30367348403301</v>
      </c>
      <c r="U411" s="67">
        <f t="shared" si="20"/>
        <v>2.2824664775418801</v>
      </c>
      <c r="V411" s="66">
        <v>2.2934615649775938</v>
      </c>
    </row>
    <row r="412" spans="1:22">
      <c r="A412" s="33" t="s">
        <v>102</v>
      </c>
      <c r="B412" s="37" t="s">
        <v>82</v>
      </c>
      <c r="C412" s="37" t="s">
        <v>22</v>
      </c>
      <c r="D412" s="35">
        <v>55</v>
      </c>
      <c r="E412" s="35">
        <v>6000</v>
      </c>
      <c r="F412" s="35">
        <v>38</v>
      </c>
      <c r="G412" s="37">
        <v>2</v>
      </c>
      <c r="H412" s="33" t="s">
        <v>194</v>
      </c>
      <c r="I412" s="33">
        <v>3</v>
      </c>
      <c r="J412" s="33">
        <v>3</v>
      </c>
      <c r="K412" s="33" t="s">
        <v>276</v>
      </c>
      <c r="L412" s="33" t="s">
        <v>155</v>
      </c>
      <c r="M412" s="43" t="s">
        <v>220</v>
      </c>
      <c r="N412" s="35">
        <v>0</v>
      </c>
      <c r="O412" s="51">
        <v>3.7699999999999818</v>
      </c>
      <c r="P412" s="51">
        <v>3.7699999999999818</v>
      </c>
      <c r="Q412" s="64">
        <v>1</v>
      </c>
      <c r="R412" s="76">
        <v>2.326822861199858</v>
      </c>
      <c r="S412" s="76">
        <v>2.326822861199858</v>
      </c>
      <c r="T412" s="66">
        <v>2.3656371906841338</v>
      </c>
      <c r="U412" s="67">
        <f t="shared" si="20"/>
        <v>2.3462300259419959</v>
      </c>
      <c r="V412" s="66">
        <v>2.360046821599453</v>
      </c>
    </row>
    <row r="413" spans="1:22">
      <c r="A413" s="33" t="s">
        <v>102</v>
      </c>
      <c r="B413" s="37" t="s">
        <v>82</v>
      </c>
      <c r="C413" s="37" t="s">
        <v>22</v>
      </c>
      <c r="D413" s="35">
        <v>55</v>
      </c>
      <c r="E413" s="35">
        <v>6000</v>
      </c>
      <c r="F413" s="35">
        <v>38</v>
      </c>
      <c r="G413" s="37">
        <v>2</v>
      </c>
      <c r="H413" s="33" t="s">
        <v>194</v>
      </c>
      <c r="I413" s="33">
        <v>4</v>
      </c>
      <c r="J413" s="33"/>
      <c r="K413" s="33" t="s">
        <v>275</v>
      </c>
      <c r="L413" s="33" t="s">
        <v>156</v>
      </c>
      <c r="M413" s="43" t="s">
        <v>220</v>
      </c>
      <c r="N413" s="35"/>
      <c r="O413" s="51"/>
      <c r="P413" s="51"/>
      <c r="Q413" s="64"/>
      <c r="R413" s="76">
        <v>2.3340000000000001</v>
      </c>
      <c r="S413" s="76">
        <v>2.3340000000000001</v>
      </c>
      <c r="T413" s="66">
        <v>2.3090000000000002</v>
      </c>
      <c r="U413" s="67">
        <f t="shared" si="20"/>
        <v>2.3215000000000003</v>
      </c>
      <c r="V413" s="66">
        <v>2.3210000000000002</v>
      </c>
    </row>
    <row r="414" spans="1:22">
      <c r="A414" s="33" t="s">
        <v>102</v>
      </c>
      <c r="B414" s="37" t="s">
        <v>82</v>
      </c>
      <c r="C414" s="37" t="s">
        <v>22</v>
      </c>
      <c r="D414" s="35">
        <v>55</v>
      </c>
      <c r="E414" s="35">
        <v>6000</v>
      </c>
      <c r="F414" s="35">
        <v>38</v>
      </c>
      <c r="G414" s="37">
        <v>2</v>
      </c>
      <c r="H414" s="33" t="s">
        <v>194</v>
      </c>
      <c r="I414" s="33">
        <v>5</v>
      </c>
      <c r="J414" s="33">
        <v>4</v>
      </c>
      <c r="K414" s="33" t="s">
        <v>276</v>
      </c>
      <c r="L414" s="33" t="s">
        <v>157</v>
      </c>
      <c r="M414" s="43" t="s">
        <v>220</v>
      </c>
      <c r="N414" s="35">
        <v>0.55500000000000005</v>
      </c>
      <c r="O414" s="51">
        <v>2.4920000000001892</v>
      </c>
      <c r="P414" s="51">
        <v>2.4920000000001892</v>
      </c>
      <c r="Q414" s="64">
        <v>1</v>
      </c>
      <c r="R414" s="76">
        <v>2.4565019345761518</v>
      </c>
      <c r="S414" s="76">
        <v>2.4565019345761518</v>
      </c>
      <c r="T414" s="66">
        <v>2.4682480809490581</v>
      </c>
      <c r="U414" s="67">
        <f t="shared" si="20"/>
        <v>2.462375007762605</v>
      </c>
      <c r="V414" s="66">
        <v>2.4735150898609701</v>
      </c>
    </row>
    <row r="415" spans="1:22">
      <c r="A415" s="33" t="s">
        <v>102</v>
      </c>
      <c r="B415" s="37" t="s">
        <v>82</v>
      </c>
      <c r="C415" s="37" t="s">
        <v>22</v>
      </c>
      <c r="D415" s="35">
        <v>55</v>
      </c>
      <c r="E415" s="35">
        <v>6000</v>
      </c>
      <c r="F415" s="35">
        <v>38</v>
      </c>
      <c r="G415" s="37">
        <v>2</v>
      </c>
      <c r="H415" s="33" t="s">
        <v>194</v>
      </c>
      <c r="I415" s="33">
        <v>6</v>
      </c>
      <c r="J415" s="33">
        <v>5</v>
      </c>
      <c r="K415" s="33" t="s">
        <v>275</v>
      </c>
      <c r="L415" s="33" t="s">
        <v>158</v>
      </c>
      <c r="M415" s="43" t="s">
        <v>220</v>
      </c>
      <c r="N415" s="35">
        <v>0</v>
      </c>
      <c r="O415" s="51">
        <v>3.1480000000001382</v>
      </c>
      <c r="P415" s="51">
        <v>3.1480000000001382</v>
      </c>
      <c r="Q415" s="64">
        <v>1</v>
      </c>
      <c r="R415" s="76">
        <v>2.3596013961605582</v>
      </c>
      <c r="S415" s="76">
        <v>2.3596013961605582</v>
      </c>
      <c r="T415" s="66">
        <v>2.365680903635722</v>
      </c>
      <c r="U415" s="67">
        <f t="shared" si="20"/>
        <v>2.3626411498981401</v>
      </c>
      <c r="V415" s="66">
        <v>2.3717413909520588</v>
      </c>
    </row>
    <row r="416" spans="1:22">
      <c r="A416" s="33" t="s">
        <v>102</v>
      </c>
      <c r="B416" s="37" t="s">
        <v>82</v>
      </c>
      <c r="C416" s="37" t="s">
        <v>14</v>
      </c>
      <c r="D416" s="35">
        <v>55</v>
      </c>
      <c r="E416" s="35">
        <v>6000</v>
      </c>
      <c r="F416" s="35">
        <v>38</v>
      </c>
      <c r="G416" s="37">
        <v>3</v>
      </c>
      <c r="H416" s="33" t="s">
        <v>199</v>
      </c>
      <c r="I416" s="33">
        <v>1</v>
      </c>
      <c r="J416" s="33"/>
      <c r="K416" s="33" t="s">
        <v>276</v>
      </c>
      <c r="L416" s="33" t="s">
        <v>156</v>
      </c>
      <c r="M416" s="43" t="s">
        <v>332</v>
      </c>
      <c r="N416" s="35"/>
      <c r="O416" s="51"/>
      <c r="P416" s="51"/>
      <c r="Q416" s="64"/>
      <c r="R416" s="76">
        <v>2.2669999999999999</v>
      </c>
      <c r="S416" s="76">
        <v>2.2669999999999999</v>
      </c>
      <c r="T416" s="66">
        <v>2.3039999999999998</v>
      </c>
      <c r="U416" s="67">
        <f t="shared" si="20"/>
        <v>2.2854999999999999</v>
      </c>
      <c r="V416" s="66">
        <v>2.2850000000000001</v>
      </c>
    </row>
    <row r="417" spans="1:22">
      <c r="A417" s="33" t="s">
        <v>102</v>
      </c>
      <c r="B417" s="37" t="s">
        <v>82</v>
      </c>
      <c r="C417" s="37" t="s">
        <v>14</v>
      </c>
      <c r="D417" s="35">
        <v>55</v>
      </c>
      <c r="E417" s="35">
        <v>6000</v>
      </c>
      <c r="F417" s="35">
        <v>38</v>
      </c>
      <c r="G417" s="37">
        <v>3</v>
      </c>
      <c r="H417" s="33" t="s">
        <v>199</v>
      </c>
      <c r="I417" s="33">
        <v>2</v>
      </c>
      <c r="J417" s="33">
        <v>1</v>
      </c>
      <c r="K417" s="33" t="s">
        <v>275</v>
      </c>
      <c r="L417" s="33" t="s">
        <v>157</v>
      </c>
      <c r="M417" s="43" t="s">
        <v>332</v>
      </c>
      <c r="N417" s="35">
        <v>0</v>
      </c>
      <c r="O417" s="51">
        <v>4.0300000000000296</v>
      </c>
      <c r="P417" s="51">
        <v>4.0300000000000296</v>
      </c>
      <c r="Q417" s="64">
        <v>1</v>
      </c>
      <c r="R417" s="76">
        <v>2.280845238095238</v>
      </c>
      <c r="S417" s="76">
        <v>2.280845238095238</v>
      </c>
      <c r="T417" s="66">
        <v>2.2407678695350448</v>
      </c>
      <c r="U417" s="67">
        <f t="shared" si="20"/>
        <v>2.2608065538151414</v>
      </c>
      <c r="V417" s="66">
        <v>2.2761995305164322</v>
      </c>
    </row>
    <row r="418" spans="1:22">
      <c r="A418" s="33" t="s">
        <v>102</v>
      </c>
      <c r="B418" s="37" t="s">
        <v>82</v>
      </c>
      <c r="C418" s="37" t="s">
        <v>14</v>
      </c>
      <c r="D418" s="35">
        <v>55</v>
      </c>
      <c r="E418" s="35">
        <v>6000</v>
      </c>
      <c r="F418" s="35">
        <v>38</v>
      </c>
      <c r="G418" s="37">
        <v>3</v>
      </c>
      <c r="H418" s="33" t="s">
        <v>199</v>
      </c>
      <c r="I418" s="33">
        <v>3</v>
      </c>
      <c r="J418" s="33">
        <v>2</v>
      </c>
      <c r="K418" s="33" t="s">
        <v>276</v>
      </c>
      <c r="L418" s="33" t="s">
        <v>153</v>
      </c>
      <c r="M418" s="43" t="s">
        <v>227</v>
      </c>
      <c r="N418" s="35">
        <v>1.0500000000000001E-2</v>
      </c>
      <c r="O418" s="51">
        <v>9.4000000000000909</v>
      </c>
      <c r="P418" s="51">
        <v>9.4000000000000909</v>
      </c>
      <c r="Q418" s="64">
        <v>1</v>
      </c>
      <c r="R418" s="76">
        <v>2.392590079228385</v>
      </c>
      <c r="S418" s="76">
        <v>2.392590079228385</v>
      </c>
      <c r="T418" s="66">
        <v>2.347254520166898</v>
      </c>
      <c r="U418" s="67">
        <f t="shared" si="20"/>
        <v>2.3699222996976417</v>
      </c>
      <c r="V418" s="66">
        <v>2.388152777777778</v>
      </c>
    </row>
    <row r="419" spans="1:22">
      <c r="A419" s="33" t="s">
        <v>102</v>
      </c>
      <c r="B419" s="37" t="s">
        <v>82</v>
      </c>
      <c r="C419" s="37" t="s">
        <v>14</v>
      </c>
      <c r="D419" s="35">
        <v>55</v>
      </c>
      <c r="E419" s="35">
        <v>6000</v>
      </c>
      <c r="F419" s="35">
        <v>38</v>
      </c>
      <c r="G419" s="37">
        <v>3</v>
      </c>
      <c r="H419" s="33" t="s">
        <v>199</v>
      </c>
      <c r="I419" s="33">
        <v>4</v>
      </c>
      <c r="J419" s="33">
        <v>3</v>
      </c>
      <c r="K419" s="33" t="s">
        <v>276</v>
      </c>
      <c r="L419" s="33" t="s">
        <v>158</v>
      </c>
      <c r="M419" s="43" t="s">
        <v>227</v>
      </c>
      <c r="N419" s="35">
        <v>0.99439999999999995</v>
      </c>
      <c r="O419" s="51">
        <v>3.8899999999999864</v>
      </c>
      <c r="P419" s="51">
        <v>3.8899999999999864</v>
      </c>
      <c r="Q419" s="64">
        <v>1</v>
      </c>
      <c r="R419" s="76">
        <v>2.3284594127806559</v>
      </c>
      <c r="S419" s="76">
        <v>2.3284594127806559</v>
      </c>
      <c r="T419" s="66">
        <v>2.2802928446771382</v>
      </c>
      <c r="U419" s="67">
        <f t="shared" si="20"/>
        <v>2.3043761287288973</v>
      </c>
      <c r="V419" s="66">
        <v>2.3157426841574171</v>
      </c>
    </row>
    <row r="420" spans="1:22">
      <c r="A420" s="33" t="s">
        <v>102</v>
      </c>
      <c r="B420" s="37" t="s">
        <v>82</v>
      </c>
      <c r="C420" s="37" t="s">
        <v>14</v>
      </c>
      <c r="D420" s="35">
        <v>55</v>
      </c>
      <c r="E420" s="35">
        <v>6000</v>
      </c>
      <c r="F420" s="35">
        <v>38</v>
      </c>
      <c r="G420" s="37">
        <v>3</v>
      </c>
      <c r="H420" s="33" t="s">
        <v>199</v>
      </c>
      <c r="I420" s="33">
        <v>5</v>
      </c>
      <c r="J420" s="33">
        <v>4</v>
      </c>
      <c r="K420" s="33" t="s">
        <v>275</v>
      </c>
      <c r="L420" s="33" t="s">
        <v>155</v>
      </c>
      <c r="M420" s="43" t="s">
        <v>227</v>
      </c>
      <c r="N420" s="35">
        <v>1.1000000000000001E-3</v>
      </c>
      <c r="O420" s="51">
        <v>2.2400000000000091</v>
      </c>
      <c r="P420" s="51">
        <v>2.2400000000000091</v>
      </c>
      <c r="Q420" s="64">
        <v>1</v>
      </c>
      <c r="R420" s="76">
        <v>2.285745884037222</v>
      </c>
      <c r="S420" s="76">
        <v>2.285745884037222</v>
      </c>
      <c r="T420" s="66">
        <v>2.24508408516781</v>
      </c>
      <c r="U420" s="67">
        <f t="shared" si="20"/>
        <v>2.2654149846025158</v>
      </c>
      <c r="V420" s="66">
        <v>2.2854711473183982</v>
      </c>
    </row>
    <row r="421" spans="1:22">
      <c r="A421" s="33" t="s">
        <v>102</v>
      </c>
      <c r="B421" s="37" t="s">
        <v>82</v>
      </c>
      <c r="C421" s="37" t="s">
        <v>14</v>
      </c>
      <c r="D421" s="35">
        <v>55</v>
      </c>
      <c r="E421" s="35">
        <v>6000</v>
      </c>
      <c r="F421" s="35">
        <v>38</v>
      </c>
      <c r="G421" s="37">
        <v>3</v>
      </c>
      <c r="H421" s="33" t="s">
        <v>199</v>
      </c>
      <c r="I421" s="33">
        <v>6</v>
      </c>
      <c r="J421" s="33">
        <v>5</v>
      </c>
      <c r="K421" s="33" t="s">
        <v>275</v>
      </c>
      <c r="L421" s="33" t="s">
        <v>154</v>
      </c>
      <c r="M421" s="43" t="s">
        <v>227</v>
      </c>
      <c r="N421" s="35">
        <v>0.68689999999999996</v>
      </c>
      <c r="O421" s="51">
        <v>4.5699999999999363</v>
      </c>
      <c r="P421" s="51">
        <v>4.5699999999999363</v>
      </c>
      <c r="Q421" s="64">
        <v>1</v>
      </c>
      <c r="R421" s="76">
        <v>2.3566081363004172</v>
      </c>
      <c r="S421" s="76">
        <v>2.3566081363004172</v>
      </c>
      <c r="T421" s="66">
        <v>2.3054804920913878</v>
      </c>
      <c r="U421" s="67">
        <f t="shared" si="20"/>
        <v>2.3310443141959025</v>
      </c>
      <c r="V421" s="66">
        <v>2.3473708206686932</v>
      </c>
    </row>
    <row r="422" spans="1:22">
      <c r="A422" s="32" t="s">
        <v>126</v>
      </c>
      <c r="B422" s="35" t="s">
        <v>65</v>
      </c>
      <c r="C422" s="35" t="s">
        <v>21</v>
      </c>
      <c r="D422" s="35">
        <v>20</v>
      </c>
      <c r="E422" s="35">
        <v>6000</v>
      </c>
      <c r="F422" s="35">
        <v>3</v>
      </c>
      <c r="G422" s="35">
        <v>1</v>
      </c>
      <c r="H422" s="32" t="s">
        <v>197</v>
      </c>
      <c r="I422" s="32">
        <v>1</v>
      </c>
      <c r="J422" s="32">
        <v>1</v>
      </c>
      <c r="K422" s="32" t="s">
        <v>275</v>
      </c>
      <c r="L422" s="32" t="s">
        <v>154</v>
      </c>
      <c r="M422" s="42" t="s">
        <v>351</v>
      </c>
      <c r="N422" s="35">
        <v>0</v>
      </c>
      <c r="O422" s="51">
        <v>1.2800000000000011</v>
      </c>
      <c r="P422" s="51">
        <v>1.2800000000000011</v>
      </c>
      <c r="Q422" s="64">
        <v>1</v>
      </c>
      <c r="R422" s="76">
        <v>4.2423195767195763</v>
      </c>
      <c r="S422" s="76">
        <v>4.2423195767195763</v>
      </c>
      <c r="T422" s="66">
        <v>3.8984275120504268</v>
      </c>
      <c r="U422" s="67">
        <f t="shared" si="20"/>
        <v>4.0703735443850011</v>
      </c>
      <c r="V422" s="66">
        <v>4.0697083906464924</v>
      </c>
    </row>
    <row r="423" spans="1:22">
      <c r="A423" s="32" t="s">
        <v>126</v>
      </c>
      <c r="B423" s="35" t="s">
        <v>65</v>
      </c>
      <c r="C423" s="35" t="s">
        <v>21</v>
      </c>
      <c r="D423" s="35">
        <v>20</v>
      </c>
      <c r="E423" s="35">
        <v>6000</v>
      </c>
      <c r="F423" s="35">
        <v>3</v>
      </c>
      <c r="G423" s="35">
        <v>1</v>
      </c>
      <c r="H423" s="32" t="s">
        <v>197</v>
      </c>
      <c r="I423" s="32">
        <v>2</v>
      </c>
      <c r="J423" s="32">
        <v>2</v>
      </c>
      <c r="K423" s="32" t="s">
        <v>276</v>
      </c>
      <c r="L423" s="32" t="s">
        <v>155</v>
      </c>
      <c r="M423" s="42" t="s">
        <v>351</v>
      </c>
      <c r="N423" s="35">
        <v>0</v>
      </c>
      <c r="O423" s="51">
        <v>1.7450000000000045</v>
      </c>
      <c r="P423" s="51">
        <v>1.7450000000000045</v>
      </c>
      <c r="Q423" s="64">
        <v>1</v>
      </c>
      <c r="R423" s="76">
        <v>4.0079409233176841</v>
      </c>
      <c r="S423" s="76">
        <v>4.0079409233176841</v>
      </c>
      <c r="T423" s="66">
        <v>3.7056366698748802</v>
      </c>
      <c r="U423" s="67">
        <f t="shared" si="20"/>
        <v>3.8567887965962822</v>
      </c>
      <c r="V423" s="66">
        <v>3.8740338858195211</v>
      </c>
    </row>
    <row r="424" spans="1:22">
      <c r="A424" s="32" t="s">
        <v>126</v>
      </c>
      <c r="B424" s="35" t="s">
        <v>65</v>
      </c>
      <c r="C424" s="35" t="s">
        <v>21</v>
      </c>
      <c r="D424" s="35">
        <v>20</v>
      </c>
      <c r="E424" s="35">
        <v>6000</v>
      </c>
      <c r="F424" s="35">
        <v>3</v>
      </c>
      <c r="G424" s="35">
        <v>1</v>
      </c>
      <c r="H424" s="32" t="s">
        <v>197</v>
      </c>
      <c r="I424" s="32">
        <v>3</v>
      </c>
      <c r="J424" s="32">
        <v>3</v>
      </c>
      <c r="K424" s="32" t="s">
        <v>275</v>
      </c>
      <c r="L424" s="32" t="s">
        <v>158</v>
      </c>
      <c r="M424" s="42" t="s">
        <v>351</v>
      </c>
      <c r="N424" s="35">
        <v>0</v>
      </c>
      <c r="O424" s="51">
        <v>2.6709999999999354</v>
      </c>
      <c r="P424" s="51">
        <v>2.6709999999999354</v>
      </c>
      <c r="Q424" s="64">
        <v>1</v>
      </c>
      <c r="R424" s="76">
        <v>3.8376035307098202</v>
      </c>
      <c r="S424" s="76">
        <v>3.8376035307098202</v>
      </c>
      <c r="T424" s="66">
        <v>3.5885979880774959</v>
      </c>
      <c r="U424" s="67">
        <f t="shared" si="20"/>
        <v>3.713100759393658</v>
      </c>
      <c r="V424" s="66">
        <v>3.712135593220339</v>
      </c>
    </row>
    <row r="425" spans="1:22">
      <c r="A425" s="32" t="s">
        <v>126</v>
      </c>
      <c r="B425" s="35" t="s">
        <v>65</v>
      </c>
      <c r="C425" s="35" t="s">
        <v>21</v>
      </c>
      <c r="D425" s="35">
        <v>20</v>
      </c>
      <c r="E425" s="35">
        <v>6000</v>
      </c>
      <c r="F425" s="35">
        <v>3</v>
      </c>
      <c r="G425" s="35">
        <v>1</v>
      </c>
      <c r="H425" s="32" t="s">
        <v>197</v>
      </c>
      <c r="I425" s="32">
        <v>4</v>
      </c>
      <c r="J425" s="32">
        <v>4</v>
      </c>
      <c r="K425" s="32" t="s">
        <v>276</v>
      </c>
      <c r="L425" s="32" t="s">
        <v>157</v>
      </c>
      <c r="M425" s="42" t="s">
        <v>351</v>
      </c>
      <c r="N425" s="35">
        <v>4.0000000000000002E-4</v>
      </c>
      <c r="O425" s="51">
        <v>2.7719999999999345</v>
      </c>
      <c r="P425" s="51">
        <v>2.7719999999999345</v>
      </c>
      <c r="Q425" s="64">
        <v>1</v>
      </c>
      <c r="R425" s="76">
        <v>3.9351698459281002</v>
      </c>
      <c r="S425" s="76">
        <v>3.9351698459281002</v>
      </c>
      <c r="T425" s="66">
        <v>3.6675360090022511</v>
      </c>
      <c r="U425" s="67">
        <f t="shared" si="20"/>
        <v>3.8013529274651754</v>
      </c>
      <c r="V425" s="66">
        <v>3.8049968175388971</v>
      </c>
    </row>
    <row r="426" spans="1:22">
      <c r="A426" s="32" t="s">
        <v>126</v>
      </c>
      <c r="B426" s="35" t="s">
        <v>65</v>
      </c>
      <c r="C426" s="35" t="s">
        <v>21</v>
      </c>
      <c r="D426" s="35">
        <v>20</v>
      </c>
      <c r="E426" s="35">
        <v>6000</v>
      </c>
      <c r="F426" s="35">
        <v>3</v>
      </c>
      <c r="G426" s="35">
        <v>1</v>
      </c>
      <c r="H426" s="32" t="s">
        <v>197</v>
      </c>
      <c r="I426" s="32">
        <v>5</v>
      </c>
      <c r="K426" s="32" t="s">
        <v>276</v>
      </c>
      <c r="L426" s="32" t="s">
        <v>156</v>
      </c>
      <c r="M426" s="42" t="s">
        <v>351</v>
      </c>
      <c r="N426" s="35">
        <v>0</v>
      </c>
      <c r="O426" s="51"/>
      <c r="P426" s="51"/>
      <c r="Q426" s="64"/>
      <c r="R426" s="76">
        <v>4.0326350749291224</v>
      </c>
      <c r="S426" s="76">
        <v>4.0326350749291224</v>
      </c>
      <c r="T426" s="66">
        <v>3.7072874948068151</v>
      </c>
      <c r="U426" s="67">
        <f t="shared" si="20"/>
        <v>3.8699612848679688</v>
      </c>
      <c r="V426" s="66">
        <v>3.873366731141199</v>
      </c>
    </row>
    <row r="427" spans="1:22">
      <c r="A427" s="32" t="s">
        <v>126</v>
      </c>
      <c r="B427" s="35" t="s">
        <v>65</v>
      </c>
      <c r="C427" s="35" t="s">
        <v>21</v>
      </c>
      <c r="D427" s="35">
        <v>20</v>
      </c>
      <c r="E427" s="35">
        <v>6000</v>
      </c>
      <c r="F427" s="35">
        <v>3</v>
      </c>
      <c r="G427" s="35">
        <v>1</v>
      </c>
      <c r="H427" s="32" t="s">
        <v>197</v>
      </c>
      <c r="I427" s="32">
        <v>6</v>
      </c>
      <c r="J427" s="32">
        <v>5</v>
      </c>
      <c r="K427" s="32" t="s">
        <v>275</v>
      </c>
      <c r="L427" s="32" t="s">
        <v>153</v>
      </c>
      <c r="M427" s="42" t="s">
        <v>351</v>
      </c>
      <c r="N427" s="35">
        <v>1.1999999999999999E-3</v>
      </c>
      <c r="O427" s="51">
        <v>5.2599999999999909</v>
      </c>
      <c r="P427" s="51">
        <v>5.2599999999999909</v>
      </c>
      <c r="Q427" s="64">
        <v>1</v>
      </c>
      <c r="R427" s="76">
        <v>3.7497614854517609</v>
      </c>
      <c r="S427" s="76">
        <v>3.7497614854517609</v>
      </c>
      <c r="T427" s="66">
        <v>3.548066227730442</v>
      </c>
      <c r="U427" s="67">
        <f t="shared" si="20"/>
        <v>3.6489138565911015</v>
      </c>
      <c r="V427" s="66">
        <v>3.6581959409594091</v>
      </c>
    </row>
    <row r="428" spans="1:22">
      <c r="A428" s="32" t="s">
        <v>126</v>
      </c>
      <c r="B428" s="35" t="s">
        <v>65</v>
      </c>
      <c r="C428" s="35" t="s">
        <v>22</v>
      </c>
      <c r="D428" s="35">
        <v>20</v>
      </c>
      <c r="E428" s="35">
        <v>6000</v>
      </c>
      <c r="F428" s="35">
        <v>3</v>
      </c>
      <c r="G428" s="35">
        <v>2</v>
      </c>
      <c r="H428" s="32" t="s">
        <v>194</v>
      </c>
      <c r="I428" s="32">
        <v>1</v>
      </c>
      <c r="J428" s="32">
        <v>1</v>
      </c>
      <c r="K428" s="32" t="s">
        <v>275</v>
      </c>
      <c r="L428" s="32" t="s">
        <v>153</v>
      </c>
      <c r="M428" s="42" t="s">
        <v>352</v>
      </c>
      <c r="N428" s="35">
        <v>0</v>
      </c>
      <c r="O428" s="51">
        <v>1.8799999999999955</v>
      </c>
      <c r="P428" s="51">
        <v>1.8799999999999955</v>
      </c>
      <c r="Q428" s="64">
        <v>1</v>
      </c>
      <c r="R428" s="76">
        <v>4.0351545012165451</v>
      </c>
      <c r="S428" s="76">
        <v>4.0351545012165451</v>
      </c>
      <c r="T428" s="66">
        <v>3.7783940714908462</v>
      </c>
      <c r="U428" s="67">
        <f t="shared" si="20"/>
        <v>3.9067742863536958</v>
      </c>
      <c r="V428" s="66">
        <v>3.9021772300469491</v>
      </c>
    </row>
    <row r="429" spans="1:22">
      <c r="A429" s="32" t="s">
        <v>126</v>
      </c>
      <c r="B429" s="35" t="s">
        <v>65</v>
      </c>
      <c r="C429" s="35" t="s">
        <v>22</v>
      </c>
      <c r="D429" s="35">
        <v>20</v>
      </c>
      <c r="E429" s="35">
        <v>6000</v>
      </c>
      <c r="F429" s="35">
        <v>3</v>
      </c>
      <c r="G429" s="35">
        <v>2</v>
      </c>
      <c r="H429" s="32" t="s">
        <v>194</v>
      </c>
      <c r="I429" s="32">
        <v>2</v>
      </c>
      <c r="J429" s="32">
        <v>2</v>
      </c>
      <c r="K429" s="32" t="s">
        <v>276</v>
      </c>
      <c r="L429" s="32" t="s">
        <v>154</v>
      </c>
      <c r="M429" s="42" t="s">
        <v>352</v>
      </c>
      <c r="N429" s="35">
        <v>4.0000000000000002E-4</v>
      </c>
      <c r="O429" s="51">
        <v>10.087999999999965</v>
      </c>
      <c r="P429" s="51">
        <v>10.087999999999965</v>
      </c>
      <c r="Q429" s="64">
        <v>1</v>
      </c>
      <c r="R429" s="76">
        <v>3.9903089460340451</v>
      </c>
      <c r="S429" s="76">
        <v>3.9903089460340451</v>
      </c>
      <c r="T429" s="66">
        <v>3.781062265566391</v>
      </c>
      <c r="U429" s="67">
        <f t="shared" si="20"/>
        <v>3.885685605800218</v>
      </c>
      <c r="V429" s="66">
        <v>3.8897535714285718</v>
      </c>
    </row>
    <row r="430" spans="1:22">
      <c r="A430" s="32" t="s">
        <v>126</v>
      </c>
      <c r="B430" s="35" t="s">
        <v>65</v>
      </c>
      <c r="C430" s="35" t="s">
        <v>22</v>
      </c>
      <c r="D430" s="35">
        <v>20</v>
      </c>
      <c r="E430" s="35">
        <v>6000</v>
      </c>
      <c r="F430" s="35">
        <v>3</v>
      </c>
      <c r="G430" s="35">
        <v>2</v>
      </c>
      <c r="H430" s="32" t="s">
        <v>194</v>
      </c>
      <c r="I430" s="32">
        <v>3</v>
      </c>
      <c r="J430" s="32">
        <v>3</v>
      </c>
      <c r="K430" s="32" t="s">
        <v>276</v>
      </c>
      <c r="L430" s="32" t="s">
        <v>155</v>
      </c>
      <c r="M430" s="42" t="s">
        <v>248</v>
      </c>
      <c r="N430" s="35">
        <v>6.0000000000000001E-3</v>
      </c>
      <c r="O430" s="51">
        <v>1.4200000000000728</v>
      </c>
      <c r="P430" s="51">
        <v>1.4200000000000728</v>
      </c>
      <c r="Q430" s="64">
        <v>1</v>
      </c>
      <c r="R430" s="76">
        <v>4.0287103274559204</v>
      </c>
      <c r="S430" s="76">
        <v>4.0287103274559204</v>
      </c>
      <c r="T430" s="66">
        <v>3.856372732958099</v>
      </c>
      <c r="U430" s="67">
        <f t="shared" si="20"/>
        <v>3.9425415302070097</v>
      </c>
      <c r="V430" s="66">
        <v>3.9252122201492532</v>
      </c>
    </row>
    <row r="431" spans="1:22">
      <c r="A431" s="32" t="s">
        <v>126</v>
      </c>
      <c r="B431" s="35" t="s">
        <v>65</v>
      </c>
      <c r="C431" s="35" t="s">
        <v>22</v>
      </c>
      <c r="D431" s="35">
        <v>20</v>
      </c>
      <c r="E431" s="35">
        <v>6000</v>
      </c>
      <c r="F431" s="35">
        <v>3</v>
      </c>
      <c r="G431" s="35">
        <v>2</v>
      </c>
      <c r="H431" s="32" t="s">
        <v>194</v>
      </c>
      <c r="I431" s="32">
        <v>4</v>
      </c>
      <c r="K431" s="32" t="s">
        <v>275</v>
      </c>
      <c r="L431" s="32" t="s">
        <v>156</v>
      </c>
      <c r="M431" s="42" t="s">
        <v>248</v>
      </c>
      <c r="N431" s="35"/>
      <c r="O431" s="51"/>
      <c r="P431" s="51"/>
      <c r="Q431" s="64"/>
    </row>
    <row r="432" spans="1:22">
      <c r="A432" s="32" t="s">
        <v>126</v>
      </c>
      <c r="B432" s="35" t="s">
        <v>65</v>
      </c>
      <c r="C432" s="35" t="s">
        <v>22</v>
      </c>
      <c r="D432" s="35">
        <v>20</v>
      </c>
      <c r="E432" s="35">
        <v>6000</v>
      </c>
      <c r="F432" s="35">
        <v>3</v>
      </c>
      <c r="G432" s="35">
        <v>2</v>
      </c>
      <c r="H432" s="32" t="s">
        <v>194</v>
      </c>
      <c r="I432" s="32">
        <v>5</v>
      </c>
      <c r="J432" s="32">
        <v>4</v>
      </c>
      <c r="K432" s="32" t="s">
        <v>276</v>
      </c>
      <c r="L432" s="32" t="s">
        <v>157</v>
      </c>
      <c r="M432" s="42" t="s">
        <v>248</v>
      </c>
      <c r="N432" s="35">
        <v>4.0000000000000002E-4</v>
      </c>
      <c r="O432" s="51">
        <v>1.3209999999999127</v>
      </c>
      <c r="P432" s="51">
        <v>1.3209999999999127</v>
      </c>
      <c r="Q432" s="64">
        <v>1</v>
      </c>
      <c r="R432" s="76">
        <v>3.879968377823408</v>
      </c>
      <c r="S432" s="76">
        <v>3.879968377823408</v>
      </c>
      <c r="T432" s="66">
        <v>3.602040441176471</v>
      </c>
      <c r="U432" s="67">
        <f t="shared" ref="U432:U448" si="21">AVERAGE(S432:T432)</f>
        <v>3.7410044094999395</v>
      </c>
      <c r="V432" s="66">
        <v>3.7345148247978441</v>
      </c>
    </row>
    <row r="433" spans="1:22">
      <c r="A433" s="32" t="s">
        <v>126</v>
      </c>
      <c r="B433" s="35" t="s">
        <v>65</v>
      </c>
      <c r="C433" s="35" t="s">
        <v>22</v>
      </c>
      <c r="D433" s="35">
        <v>20</v>
      </c>
      <c r="E433" s="35">
        <v>6000</v>
      </c>
      <c r="F433" s="35">
        <v>3</v>
      </c>
      <c r="G433" s="35">
        <v>2</v>
      </c>
      <c r="H433" s="32" t="s">
        <v>194</v>
      </c>
      <c r="I433" s="32">
        <v>6</v>
      </c>
      <c r="J433" s="32">
        <v>5</v>
      </c>
      <c r="K433" s="32" t="s">
        <v>275</v>
      </c>
      <c r="L433" s="32" t="s">
        <v>158</v>
      </c>
      <c r="M433" s="42" t="s">
        <v>248</v>
      </c>
      <c r="N433" s="35">
        <v>0</v>
      </c>
      <c r="O433" s="51">
        <v>3.3979999999999109</v>
      </c>
      <c r="P433" s="51">
        <v>3.3979999999999109</v>
      </c>
      <c r="Q433" s="64">
        <v>1</v>
      </c>
      <c r="R433" s="76">
        <v>3.7956560390097529</v>
      </c>
      <c r="S433" s="76">
        <v>3.7956560390097529</v>
      </c>
      <c r="T433" s="66">
        <v>3.5695021236432281</v>
      </c>
      <c r="U433" s="67">
        <f t="shared" si="21"/>
        <v>3.6825790813264905</v>
      </c>
      <c r="V433" s="66">
        <v>3.7125761183261181</v>
      </c>
    </row>
    <row r="434" spans="1:22">
      <c r="A434" s="32" t="s">
        <v>126</v>
      </c>
      <c r="B434" s="35" t="s">
        <v>65</v>
      </c>
      <c r="C434" s="35" t="s">
        <v>14</v>
      </c>
      <c r="D434" s="35">
        <v>20</v>
      </c>
      <c r="E434" s="35">
        <v>6000</v>
      </c>
      <c r="F434" s="35">
        <v>3</v>
      </c>
      <c r="G434" s="35">
        <v>3</v>
      </c>
      <c r="H434" s="32" t="s">
        <v>199</v>
      </c>
      <c r="I434" s="32">
        <v>1</v>
      </c>
      <c r="K434" s="32" t="s">
        <v>276</v>
      </c>
      <c r="L434" s="32" t="s">
        <v>156</v>
      </c>
      <c r="M434" s="46" t="s">
        <v>353</v>
      </c>
      <c r="N434" s="35"/>
      <c r="O434" s="51"/>
      <c r="P434" s="51"/>
      <c r="Q434" s="64"/>
      <c r="R434" s="76">
        <v>4.9610000000000003</v>
      </c>
      <c r="S434" s="76">
        <v>4.9610000000000003</v>
      </c>
      <c r="T434" s="66">
        <v>4.6859999999999999</v>
      </c>
      <c r="U434" s="67">
        <f t="shared" si="21"/>
        <v>4.8235000000000001</v>
      </c>
      <c r="V434" s="66">
        <v>4.8239999999999998</v>
      </c>
    </row>
    <row r="435" spans="1:22">
      <c r="A435" s="32" t="s">
        <v>126</v>
      </c>
      <c r="B435" s="35" t="s">
        <v>65</v>
      </c>
      <c r="C435" s="35" t="s">
        <v>14</v>
      </c>
      <c r="D435" s="35">
        <v>20</v>
      </c>
      <c r="E435" s="35">
        <v>6000</v>
      </c>
      <c r="F435" s="35">
        <v>3</v>
      </c>
      <c r="G435" s="35">
        <v>3</v>
      </c>
      <c r="H435" s="32" t="s">
        <v>199</v>
      </c>
      <c r="I435" s="32">
        <v>2</v>
      </c>
      <c r="J435" s="32">
        <v>1</v>
      </c>
      <c r="K435" s="32" t="s">
        <v>275</v>
      </c>
      <c r="L435" s="32" t="s">
        <v>157</v>
      </c>
      <c r="M435" s="46" t="s">
        <v>353</v>
      </c>
      <c r="N435" s="35">
        <v>0</v>
      </c>
      <c r="O435" s="51">
        <v>5.5299999999999727</v>
      </c>
      <c r="P435" s="51">
        <v>5.5299999999999727</v>
      </c>
      <c r="Q435" s="64">
        <v>1</v>
      </c>
      <c r="R435" s="76">
        <v>3.8570011231748409</v>
      </c>
      <c r="S435" s="76">
        <v>3.8570011231748409</v>
      </c>
      <c r="T435" s="66">
        <v>3.6436435011269719</v>
      </c>
      <c r="U435" s="67">
        <f t="shared" si="21"/>
        <v>3.7503223121509066</v>
      </c>
      <c r="V435" s="66">
        <v>3.7467813400576371</v>
      </c>
    </row>
    <row r="436" spans="1:22">
      <c r="A436" s="32" t="s">
        <v>126</v>
      </c>
      <c r="B436" s="35" t="s">
        <v>65</v>
      </c>
      <c r="C436" s="35" t="s">
        <v>14</v>
      </c>
      <c r="D436" s="35">
        <v>20</v>
      </c>
      <c r="E436" s="35">
        <v>6000</v>
      </c>
      <c r="F436" s="35">
        <v>3</v>
      </c>
      <c r="G436" s="35">
        <v>3</v>
      </c>
      <c r="H436" s="32" t="s">
        <v>199</v>
      </c>
      <c r="I436" s="32">
        <v>3</v>
      </c>
      <c r="J436" s="32">
        <v>2</v>
      </c>
      <c r="K436" s="32" t="s">
        <v>276</v>
      </c>
      <c r="L436" s="32" t="s">
        <v>153</v>
      </c>
      <c r="M436" s="46" t="s">
        <v>251</v>
      </c>
      <c r="N436" s="35">
        <v>0</v>
      </c>
      <c r="O436" s="51">
        <v>5.8600000000000136</v>
      </c>
      <c r="P436" s="51">
        <v>5.8600000000000136</v>
      </c>
      <c r="Q436" s="64">
        <v>1</v>
      </c>
      <c r="R436" s="76">
        <v>3.8696294513955718</v>
      </c>
      <c r="S436" s="76">
        <v>3.8696294513955718</v>
      </c>
      <c r="T436" s="66">
        <v>3.613211395101172</v>
      </c>
      <c r="U436" s="67">
        <f t="shared" si="21"/>
        <v>3.7414204232483721</v>
      </c>
      <c r="V436" s="66">
        <v>3.7483634743875278</v>
      </c>
    </row>
    <row r="437" spans="1:22">
      <c r="A437" s="32" t="s">
        <v>126</v>
      </c>
      <c r="B437" s="35" t="s">
        <v>65</v>
      </c>
      <c r="C437" s="35" t="s">
        <v>14</v>
      </c>
      <c r="D437" s="35">
        <v>20</v>
      </c>
      <c r="E437" s="35">
        <v>6000</v>
      </c>
      <c r="F437" s="35">
        <v>3</v>
      </c>
      <c r="G437" s="35">
        <v>3</v>
      </c>
      <c r="H437" s="32" t="s">
        <v>199</v>
      </c>
      <c r="I437" s="32">
        <v>4</v>
      </c>
      <c r="J437" s="32">
        <v>3</v>
      </c>
      <c r="K437" s="32" t="s">
        <v>276</v>
      </c>
      <c r="L437" s="32" t="s">
        <v>158</v>
      </c>
      <c r="M437" s="46" t="s">
        <v>251</v>
      </c>
      <c r="N437" s="35">
        <v>0</v>
      </c>
      <c r="O437" s="51" t="s">
        <v>395</v>
      </c>
      <c r="P437" s="51"/>
      <c r="Q437" s="64">
        <v>0</v>
      </c>
      <c r="R437" s="76">
        <v>4.1767907148120864</v>
      </c>
      <c r="S437" s="76">
        <v>4.1767907148120864</v>
      </c>
      <c r="T437" s="66">
        <v>3.8864766763848402</v>
      </c>
      <c r="U437" s="67">
        <f t="shared" si="21"/>
        <v>4.0316336955984635</v>
      </c>
      <c r="V437" s="66">
        <v>4.0253964850615116</v>
      </c>
    </row>
    <row r="438" spans="1:22">
      <c r="A438" s="32" t="s">
        <v>126</v>
      </c>
      <c r="B438" s="35" t="s">
        <v>65</v>
      </c>
      <c r="C438" s="35" t="s">
        <v>14</v>
      </c>
      <c r="D438" s="35">
        <v>20</v>
      </c>
      <c r="E438" s="35">
        <v>6000</v>
      </c>
      <c r="F438" s="35">
        <v>3</v>
      </c>
      <c r="G438" s="35">
        <v>3</v>
      </c>
      <c r="H438" s="32" t="s">
        <v>199</v>
      </c>
      <c r="I438" s="32">
        <v>5</v>
      </c>
      <c r="J438" s="32">
        <v>4</v>
      </c>
      <c r="K438" s="32" t="s">
        <v>275</v>
      </c>
      <c r="L438" s="32" t="s">
        <v>155</v>
      </c>
      <c r="M438" s="46" t="s">
        <v>251</v>
      </c>
      <c r="N438" s="35">
        <v>0</v>
      </c>
      <c r="O438" s="51">
        <v>5</v>
      </c>
      <c r="P438" s="51">
        <v>5</v>
      </c>
      <c r="Q438" s="64">
        <v>1</v>
      </c>
      <c r="R438" s="76">
        <v>4.0381251778093894</v>
      </c>
      <c r="S438" s="76">
        <v>4.0381251778093894</v>
      </c>
      <c r="T438" s="66">
        <v>3.7873815597667639</v>
      </c>
      <c r="U438" s="67">
        <f t="shared" si="21"/>
        <v>3.9127533687880769</v>
      </c>
      <c r="V438" s="66">
        <v>3.9196570928196151</v>
      </c>
    </row>
    <row r="439" spans="1:22">
      <c r="A439" s="32" t="s">
        <v>126</v>
      </c>
      <c r="B439" s="35" t="s">
        <v>65</v>
      </c>
      <c r="C439" s="35" t="s">
        <v>14</v>
      </c>
      <c r="D439" s="35">
        <v>20</v>
      </c>
      <c r="E439" s="35">
        <v>6000</v>
      </c>
      <c r="F439" s="35">
        <v>3</v>
      </c>
      <c r="G439" s="35">
        <v>3</v>
      </c>
      <c r="H439" s="32" t="s">
        <v>199</v>
      </c>
      <c r="I439" s="32">
        <v>6</v>
      </c>
      <c r="J439" s="32">
        <v>5</v>
      </c>
      <c r="K439" s="32" t="s">
        <v>275</v>
      </c>
      <c r="L439" s="32" t="s">
        <v>154</v>
      </c>
      <c r="M439" s="46" t="s">
        <v>251</v>
      </c>
      <c r="N439" s="35">
        <v>4.0000000000000002E-4</v>
      </c>
      <c r="O439" s="51">
        <v>7.8700000000001182</v>
      </c>
      <c r="P439" s="51">
        <v>7.8700000000001182</v>
      </c>
      <c r="Q439" s="64">
        <v>1</v>
      </c>
      <c r="R439" s="76">
        <v>3.921369383697813</v>
      </c>
      <c r="S439" s="76">
        <v>3.921369383697813</v>
      </c>
      <c r="T439" s="66">
        <v>3.6534232501023332</v>
      </c>
      <c r="U439" s="67">
        <f t="shared" si="21"/>
        <v>3.7873963169000731</v>
      </c>
      <c r="V439" s="66">
        <v>3.783979779411764</v>
      </c>
    </row>
    <row r="440" spans="1:22">
      <c r="A440" s="33" t="s">
        <v>129</v>
      </c>
      <c r="B440" s="37" t="s">
        <v>65</v>
      </c>
      <c r="C440" s="37" t="s">
        <v>14</v>
      </c>
      <c r="D440" s="35">
        <v>22</v>
      </c>
      <c r="E440" s="35">
        <v>10000</v>
      </c>
      <c r="F440" s="35">
        <v>3</v>
      </c>
      <c r="G440" s="37">
        <v>1</v>
      </c>
      <c r="H440" s="33" t="s">
        <v>197</v>
      </c>
      <c r="I440" s="33">
        <v>1</v>
      </c>
      <c r="J440" s="33">
        <v>1</v>
      </c>
      <c r="K440" s="33" t="s">
        <v>275</v>
      </c>
      <c r="L440" s="33" t="s">
        <v>154</v>
      </c>
      <c r="M440" s="43" t="s">
        <v>354</v>
      </c>
      <c r="N440" s="35">
        <v>0</v>
      </c>
      <c r="O440" s="51">
        <v>1.8440000000000225</v>
      </c>
      <c r="P440" s="51">
        <v>1.8440000000000225</v>
      </c>
      <c r="Q440" s="64">
        <v>1</v>
      </c>
      <c r="R440" s="76">
        <v>4.5263826787512604</v>
      </c>
      <c r="S440" s="76">
        <v>4.5263826787512604</v>
      </c>
      <c r="T440" s="66">
        <v>4.2842212151728756</v>
      </c>
      <c r="U440" s="67">
        <f t="shared" si="21"/>
        <v>4.4053019469620676</v>
      </c>
      <c r="V440" s="66">
        <v>4.4034329105473971</v>
      </c>
    </row>
    <row r="441" spans="1:22">
      <c r="A441" s="33" t="s">
        <v>129</v>
      </c>
      <c r="B441" s="37" t="s">
        <v>65</v>
      </c>
      <c r="C441" s="37" t="s">
        <v>14</v>
      </c>
      <c r="D441" s="35">
        <v>22</v>
      </c>
      <c r="E441" s="35">
        <v>10000</v>
      </c>
      <c r="F441" s="35">
        <v>3</v>
      </c>
      <c r="G441" s="37">
        <v>1</v>
      </c>
      <c r="H441" s="33" t="s">
        <v>197</v>
      </c>
      <c r="I441" s="33">
        <v>2</v>
      </c>
      <c r="J441" s="33">
        <v>2</v>
      </c>
      <c r="K441" s="33" t="s">
        <v>276</v>
      </c>
      <c r="L441" s="33" t="s">
        <v>155</v>
      </c>
      <c r="M441" s="43" t="s">
        <v>354</v>
      </c>
      <c r="N441" s="35">
        <v>0</v>
      </c>
      <c r="O441" s="51">
        <v>3.4449999999999363</v>
      </c>
      <c r="P441" s="51">
        <v>3.4449999999999363</v>
      </c>
      <c r="Q441" s="64">
        <v>1</v>
      </c>
      <c r="R441" s="76">
        <v>4.324311891515995</v>
      </c>
      <c r="S441" s="76">
        <v>4.324311891515995</v>
      </c>
      <c r="T441" s="66">
        <v>4.152140582655826</v>
      </c>
      <c r="U441" s="67">
        <f t="shared" si="21"/>
        <v>4.238226237085911</v>
      </c>
      <c r="V441" s="66">
        <v>4.2364944944944947</v>
      </c>
    </row>
    <row r="442" spans="1:22">
      <c r="A442" s="33" t="s">
        <v>129</v>
      </c>
      <c r="B442" s="37" t="s">
        <v>65</v>
      </c>
      <c r="C442" s="37" t="s">
        <v>14</v>
      </c>
      <c r="D442" s="35">
        <v>22</v>
      </c>
      <c r="E442" s="35">
        <v>10000</v>
      </c>
      <c r="F442" s="35">
        <v>3</v>
      </c>
      <c r="G442" s="37">
        <v>1</v>
      </c>
      <c r="H442" s="33" t="s">
        <v>197</v>
      </c>
      <c r="I442" s="33">
        <v>3</v>
      </c>
      <c r="J442" s="33">
        <v>3</v>
      </c>
      <c r="K442" s="33" t="s">
        <v>275</v>
      </c>
      <c r="L442" s="33" t="s">
        <v>158</v>
      </c>
      <c r="M442" s="43" t="s">
        <v>354</v>
      </c>
      <c r="N442" s="35">
        <v>0</v>
      </c>
      <c r="O442" s="51">
        <v>2.6449999999999818</v>
      </c>
      <c r="P442" s="51">
        <v>2.6449999999999818</v>
      </c>
      <c r="Q442" s="64">
        <v>1</v>
      </c>
      <c r="R442" s="76">
        <v>4.5853774717514124</v>
      </c>
      <c r="S442" s="76">
        <v>4.5853774717514124</v>
      </c>
      <c r="T442" s="66">
        <v>4.3165327526132407</v>
      </c>
      <c r="U442" s="67">
        <f t="shared" si="21"/>
        <v>4.4509551121823261</v>
      </c>
      <c r="V442" s="66">
        <v>4.4498094751192907</v>
      </c>
    </row>
    <row r="443" spans="1:22">
      <c r="A443" s="33" t="s">
        <v>129</v>
      </c>
      <c r="B443" s="37" t="s">
        <v>65</v>
      </c>
      <c r="C443" s="37" t="s">
        <v>14</v>
      </c>
      <c r="D443" s="35">
        <v>22</v>
      </c>
      <c r="E443" s="35">
        <v>10000</v>
      </c>
      <c r="F443" s="35">
        <v>3</v>
      </c>
      <c r="G443" s="37">
        <v>1</v>
      </c>
      <c r="H443" s="33" t="s">
        <v>197</v>
      </c>
      <c r="I443" s="33">
        <v>4</v>
      </c>
      <c r="J443" s="33">
        <v>4</v>
      </c>
      <c r="K443" s="33" t="s">
        <v>276</v>
      </c>
      <c r="L443" s="33" t="s">
        <v>157</v>
      </c>
      <c r="M443" s="43" t="s">
        <v>354</v>
      </c>
      <c r="N443" s="35">
        <v>0</v>
      </c>
      <c r="O443" s="51">
        <v>2.8519999999999754</v>
      </c>
      <c r="P443" s="51">
        <v>2.8519999999999754</v>
      </c>
      <c r="Q443" s="64">
        <v>1</v>
      </c>
      <c r="R443" s="76">
        <v>4.3989278210776011</v>
      </c>
      <c r="S443" s="76">
        <v>4.3989278210776011</v>
      </c>
      <c r="T443" s="66">
        <v>4.1753344628939342</v>
      </c>
      <c r="U443" s="67">
        <f t="shared" si="21"/>
        <v>4.2871311419857676</v>
      </c>
      <c r="V443" s="66">
        <v>4.2875765100671126</v>
      </c>
    </row>
    <row r="444" spans="1:22">
      <c r="A444" s="33" t="s">
        <v>129</v>
      </c>
      <c r="B444" s="37" t="s">
        <v>65</v>
      </c>
      <c r="C444" s="37" t="s">
        <v>14</v>
      </c>
      <c r="D444" s="35">
        <v>22</v>
      </c>
      <c r="E444" s="35">
        <v>10000</v>
      </c>
      <c r="F444" s="35">
        <v>3</v>
      </c>
      <c r="G444" s="37">
        <v>1</v>
      </c>
      <c r="H444" s="33" t="s">
        <v>197</v>
      </c>
      <c r="I444" s="33">
        <v>5</v>
      </c>
      <c r="J444" s="33"/>
      <c r="K444" s="33" t="s">
        <v>276</v>
      </c>
      <c r="L444" s="33" t="s">
        <v>156</v>
      </c>
      <c r="M444" s="43" t="s">
        <v>354</v>
      </c>
      <c r="N444" s="35"/>
      <c r="O444" s="51"/>
      <c r="P444" s="51"/>
      <c r="Q444" s="64"/>
      <c r="R444" s="76">
        <v>5.4349999999999996</v>
      </c>
      <c r="S444" s="76">
        <v>5.4349999999999996</v>
      </c>
      <c r="U444" s="67">
        <f t="shared" si="21"/>
        <v>5.4349999999999996</v>
      </c>
      <c r="V444" s="66">
        <v>5.4349999999999996</v>
      </c>
    </row>
    <row r="445" spans="1:22">
      <c r="A445" s="33" t="s">
        <v>129</v>
      </c>
      <c r="B445" s="37" t="s">
        <v>65</v>
      </c>
      <c r="C445" s="37" t="s">
        <v>14</v>
      </c>
      <c r="D445" s="35">
        <v>22</v>
      </c>
      <c r="E445" s="35">
        <v>10000</v>
      </c>
      <c r="F445" s="35">
        <v>3</v>
      </c>
      <c r="G445" s="37">
        <v>1</v>
      </c>
      <c r="H445" s="33" t="s">
        <v>197</v>
      </c>
      <c r="I445" s="33">
        <v>6</v>
      </c>
      <c r="J445" s="33">
        <v>5</v>
      </c>
      <c r="K445" s="33" t="s">
        <v>275</v>
      </c>
      <c r="L445" s="33" t="s">
        <v>153</v>
      </c>
      <c r="M445" s="43" t="s">
        <v>354</v>
      </c>
      <c r="N445" s="35">
        <v>0</v>
      </c>
      <c r="O445" s="51">
        <v>3.2539999999999054</v>
      </c>
      <c r="P445" s="51">
        <v>3.2539999999999054</v>
      </c>
      <c r="Q445" s="64">
        <v>1</v>
      </c>
      <c r="R445" s="76">
        <v>4.1979229463679566</v>
      </c>
      <c r="S445" s="76">
        <v>4.1979229463679566</v>
      </c>
      <c r="T445" s="66">
        <v>4.0121127434232999</v>
      </c>
      <c r="U445" s="67">
        <f t="shared" si="21"/>
        <v>4.1050178448956283</v>
      </c>
      <c r="V445" s="66">
        <v>4.105844504021448</v>
      </c>
    </row>
    <row r="446" spans="1:22">
      <c r="A446" s="33" t="s">
        <v>129</v>
      </c>
      <c r="B446" s="37" t="s">
        <v>65</v>
      </c>
      <c r="C446" s="37" t="s">
        <v>21</v>
      </c>
      <c r="D446" s="35">
        <v>22</v>
      </c>
      <c r="E446" s="35">
        <v>10000</v>
      </c>
      <c r="F446" s="35">
        <v>3</v>
      </c>
      <c r="G446" s="37">
        <v>2</v>
      </c>
      <c r="H446" s="33" t="s">
        <v>194</v>
      </c>
      <c r="I446" s="33">
        <v>1</v>
      </c>
      <c r="J446" s="33">
        <v>1</v>
      </c>
      <c r="K446" s="33" t="s">
        <v>275</v>
      </c>
      <c r="L446" s="33" t="s">
        <v>153</v>
      </c>
      <c r="M446" s="43" t="s">
        <v>355</v>
      </c>
      <c r="N446" s="35">
        <v>0</v>
      </c>
      <c r="O446" s="51">
        <v>8.1639999999999873</v>
      </c>
      <c r="P446" s="51">
        <v>8.1639999999999873</v>
      </c>
      <c r="Q446" s="64">
        <v>1</v>
      </c>
      <c r="R446" s="76">
        <v>4.5505867924528296</v>
      </c>
      <c r="S446" s="76">
        <v>4.5505867924528296</v>
      </c>
      <c r="T446" s="66">
        <v>4.3032915266890628</v>
      </c>
      <c r="U446" s="67">
        <f t="shared" si="21"/>
        <v>4.4269391595709457</v>
      </c>
      <c r="V446" s="66">
        <v>4.4224533236469306</v>
      </c>
    </row>
    <row r="447" spans="1:22">
      <c r="A447" s="33" t="s">
        <v>129</v>
      </c>
      <c r="B447" s="37" t="s">
        <v>65</v>
      </c>
      <c r="C447" s="37" t="s">
        <v>21</v>
      </c>
      <c r="D447" s="35">
        <v>22</v>
      </c>
      <c r="E447" s="35">
        <v>10000</v>
      </c>
      <c r="F447" s="35">
        <v>3</v>
      </c>
      <c r="G447" s="37">
        <v>2</v>
      </c>
      <c r="H447" s="33" t="s">
        <v>194</v>
      </c>
      <c r="I447" s="33">
        <v>2</v>
      </c>
      <c r="J447" s="33">
        <v>2</v>
      </c>
      <c r="K447" s="33" t="s">
        <v>276</v>
      </c>
      <c r="L447" s="33" t="s">
        <v>154</v>
      </c>
      <c r="M447" s="43" t="s">
        <v>355</v>
      </c>
      <c r="N447" s="35">
        <v>0</v>
      </c>
      <c r="O447" s="51">
        <v>11.076999999999998</v>
      </c>
      <c r="P447" s="51">
        <v>11.076999999999998</v>
      </c>
      <c r="Q447" s="64">
        <v>1</v>
      </c>
      <c r="R447" s="76">
        <v>4.3378077066965961</v>
      </c>
      <c r="S447" s="76">
        <v>4.3378077066965961</v>
      </c>
      <c r="T447" s="66">
        <v>4.1813465106897949</v>
      </c>
      <c r="U447" s="67">
        <f t="shared" si="21"/>
        <v>4.2595771086931951</v>
      </c>
      <c r="V447" s="66">
        <v>4.2678642857142854</v>
      </c>
    </row>
    <row r="448" spans="1:22">
      <c r="A448" s="33" t="s">
        <v>129</v>
      </c>
      <c r="B448" s="37" t="s">
        <v>65</v>
      </c>
      <c r="C448" s="37" t="s">
        <v>21</v>
      </c>
      <c r="D448" s="35">
        <v>22</v>
      </c>
      <c r="E448" s="35">
        <v>10000</v>
      </c>
      <c r="F448" s="35">
        <v>3</v>
      </c>
      <c r="G448" s="37">
        <v>2</v>
      </c>
      <c r="H448" s="33" t="s">
        <v>194</v>
      </c>
      <c r="I448" s="33">
        <v>3</v>
      </c>
      <c r="J448" s="33">
        <v>3</v>
      </c>
      <c r="K448" s="33" t="s">
        <v>276</v>
      </c>
      <c r="L448" s="33" t="s">
        <v>155</v>
      </c>
      <c r="M448" s="43" t="s">
        <v>241</v>
      </c>
      <c r="N448" s="35">
        <v>0</v>
      </c>
      <c r="O448" s="51" t="s">
        <v>395</v>
      </c>
      <c r="P448" s="51"/>
      <c r="Q448" s="64">
        <v>0</v>
      </c>
      <c r="R448" s="76">
        <v>4.3381688843398161</v>
      </c>
      <c r="S448" s="76">
        <v>4.3381688843398161</v>
      </c>
      <c r="T448" s="66">
        <v>4.1625242784380303</v>
      </c>
      <c r="U448" s="67">
        <f t="shared" si="21"/>
        <v>4.2503465813889232</v>
      </c>
      <c r="V448" s="66">
        <v>4.2490621013763006</v>
      </c>
    </row>
    <row r="449" spans="1:22">
      <c r="A449" s="33" t="s">
        <v>129</v>
      </c>
      <c r="B449" s="37" t="s">
        <v>65</v>
      </c>
      <c r="C449" s="37" t="s">
        <v>21</v>
      </c>
      <c r="D449" s="35">
        <v>22</v>
      </c>
      <c r="E449" s="35">
        <v>10000</v>
      </c>
      <c r="F449" s="35">
        <v>3</v>
      </c>
      <c r="G449" s="37">
        <v>2</v>
      </c>
      <c r="H449" s="33" t="s">
        <v>194</v>
      </c>
      <c r="I449" s="33">
        <v>4</v>
      </c>
      <c r="J449" s="33"/>
      <c r="K449" s="33" t="s">
        <v>275</v>
      </c>
      <c r="L449" s="33" t="s">
        <v>156</v>
      </c>
      <c r="M449" s="43" t="s">
        <v>241</v>
      </c>
      <c r="N449" s="35"/>
      <c r="O449" s="51"/>
      <c r="P449" s="51"/>
      <c r="Q449" s="64"/>
    </row>
    <row r="450" spans="1:22">
      <c r="A450" s="33" t="s">
        <v>129</v>
      </c>
      <c r="B450" s="37" t="s">
        <v>65</v>
      </c>
      <c r="C450" s="37" t="s">
        <v>21</v>
      </c>
      <c r="D450" s="35">
        <v>22</v>
      </c>
      <c r="E450" s="35">
        <v>10000</v>
      </c>
      <c r="F450" s="35">
        <v>3</v>
      </c>
      <c r="G450" s="37">
        <v>2</v>
      </c>
      <c r="H450" s="33" t="s">
        <v>194</v>
      </c>
      <c r="I450" s="33">
        <v>5</v>
      </c>
      <c r="J450" s="33">
        <v>4</v>
      </c>
      <c r="K450" s="33" t="s">
        <v>276</v>
      </c>
      <c r="L450" s="33" t="s">
        <v>157</v>
      </c>
      <c r="M450" s="43" t="s">
        <v>241</v>
      </c>
      <c r="N450" s="35">
        <v>0</v>
      </c>
      <c r="O450" s="51" t="s">
        <v>395</v>
      </c>
      <c r="P450" s="51"/>
      <c r="Q450" s="64">
        <v>0</v>
      </c>
      <c r="R450" s="76">
        <v>3.9512064516129031</v>
      </c>
      <c r="S450" s="76">
        <v>3.9512064516129031</v>
      </c>
      <c r="T450" s="66">
        <v>3.8460870151770661</v>
      </c>
      <c r="U450" s="67">
        <f>AVERAGE(S450:T450)</f>
        <v>3.8986467333949846</v>
      </c>
      <c r="V450" s="66">
        <v>3.897291470785762</v>
      </c>
    </row>
    <row r="451" spans="1:22">
      <c r="A451" s="33" t="s">
        <v>129</v>
      </c>
      <c r="B451" s="37" t="s">
        <v>65</v>
      </c>
      <c r="C451" s="37" t="s">
        <v>21</v>
      </c>
      <c r="D451" s="35">
        <v>22</v>
      </c>
      <c r="E451" s="35">
        <v>10000</v>
      </c>
      <c r="F451" s="35">
        <v>3</v>
      </c>
      <c r="G451" s="37">
        <v>2</v>
      </c>
      <c r="H451" s="33" t="s">
        <v>194</v>
      </c>
      <c r="I451" s="33">
        <v>6</v>
      </c>
      <c r="J451" s="33">
        <v>5</v>
      </c>
      <c r="K451" s="33" t="s">
        <v>275</v>
      </c>
      <c r="L451" s="33" t="s">
        <v>158</v>
      </c>
      <c r="M451" s="43" t="s">
        <v>241</v>
      </c>
      <c r="N451" s="35">
        <v>2.0999999999999999E-3</v>
      </c>
      <c r="O451" s="51">
        <v>-0.34999999999990905</v>
      </c>
      <c r="P451" s="51">
        <v>-0.34999999999990905</v>
      </c>
      <c r="Q451" s="64">
        <v>1</v>
      </c>
      <c r="R451" s="76">
        <v>4.3928385502471166</v>
      </c>
      <c r="S451" s="76">
        <v>4.3928385502471166</v>
      </c>
      <c r="T451" s="66">
        <v>4.2465047244094487</v>
      </c>
      <c r="U451" s="67">
        <f>AVERAGE(S451:T451)</f>
        <v>4.3196716373282822</v>
      </c>
      <c r="V451" s="66">
        <v>4.3078897145091899</v>
      </c>
    </row>
    <row r="452" spans="1:22">
      <c r="A452" s="33" t="s">
        <v>129</v>
      </c>
      <c r="B452" s="37" t="s">
        <v>65</v>
      </c>
      <c r="C452" s="37" t="s">
        <v>22</v>
      </c>
      <c r="D452" s="35">
        <v>22</v>
      </c>
      <c r="E452" s="35">
        <v>10000</v>
      </c>
      <c r="F452" s="35">
        <v>3</v>
      </c>
      <c r="G452" s="37">
        <v>3</v>
      </c>
      <c r="H452" s="33" t="s">
        <v>199</v>
      </c>
      <c r="I452" s="33">
        <v>1</v>
      </c>
      <c r="J452" s="33"/>
      <c r="K452" s="33" t="s">
        <v>276</v>
      </c>
      <c r="L452" s="33" t="s">
        <v>156</v>
      </c>
      <c r="M452" s="43" t="s">
        <v>356</v>
      </c>
      <c r="N452" s="35"/>
      <c r="O452" s="51"/>
      <c r="P452" s="51"/>
      <c r="Q452" s="64"/>
    </row>
    <row r="453" spans="1:22">
      <c r="A453" s="33" t="s">
        <v>129</v>
      </c>
      <c r="B453" s="37" t="s">
        <v>65</v>
      </c>
      <c r="C453" s="37" t="s">
        <v>22</v>
      </c>
      <c r="D453" s="35">
        <v>22</v>
      </c>
      <c r="E453" s="35">
        <v>10000</v>
      </c>
      <c r="F453" s="35">
        <v>3</v>
      </c>
      <c r="G453" s="37">
        <v>3</v>
      </c>
      <c r="H453" s="33" t="s">
        <v>199</v>
      </c>
      <c r="I453" s="33">
        <v>2</v>
      </c>
      <c r="J453" s="33">
        <v>1</v>
      </c>
      <c r="K453" s="33" t="s">
        <v>275</v>
      </c>
      <c r="L453" s="33" t="s">
        <v>157</v>
      </c>
      <c r="M453" s="43" t="s">
        <v>356</v>
      </c>
      <c r="N453" s="35">
        <v>0</v>
      </c>
      <c r="O453" s="51">
        <v>11.580000000000041</v>
      </c>
      <c r="P453" s="51">
        <v>11.580000000000041</v>
      </c>
      <c r="Q453" s="64">
        <v>1</v>
      </c>
      <c r="R453" s="76">
        <v>4.0735598575878953</v>
      </c>
      <c r="S453" s="76">
        <v>4.0735598575878953</v>
      </c>
      <c r="T453" s="66">
        <v>4.0411374172185424</v>
      </c>
      <c r="U453" s="67">
        <f t="shared" ref="U453:U461" si="22">AVERAGE(S453:T453)</f>
        <v>4.0573486374032193</v>
      </c>
      <c r="V453" s="66">
        <v>4.0617667191188032</v>
      </c>
    </row>
    <row r="454" spans="1:22">
      <c r="A454" s="33" t="s">
        <v>129</v>
      </c>
      <c r="B454" s="37" t="s">
        <v>65</v>
      </c>
      <c r="C454" s="37" t="s">
        <v>22</v>
      </c>
      <c r="D454" s="35">
        <v>22</v>
      </c>
      <c r="E454" s="35">
        <v>10000</v>
      </c>
      <c r="F454" s="35">
        <v>3</v>
      </c>
      <c r="G454" s="37">
        <v>3</v>
      </c>
      <c r="H454" s="33" t="s">
        <v>199</v>
      </c>
      <c r="I454" s="33">
        <v>3</v>
      </c>
      <c r="J454" s="33">
        <v>2</v>
      </c>
      <c r="K454" s="33" t="s">
        <v>276</v>
      </c>
      <c r="L454" s="33" t="s">
        <v>153</v>
      </c>
      <c r="M454" s="43" t="s">
        <v>242</v>
      </c>
      <c r="N454" s="35">
        <v>0</v>
      </c>
      <c r="O454" s="51">
        <v>9.9300000000000637</v>
      </c>
      <c r="P454" s="51">
        <v>9.9300000000000637</v>
      </c>
      <c r="Q454" s="64">
        <v>1</v>
      </c>
      <c r="R454" s="76">
        <v>4.3577490835030552</v>
      </c>
      <c r="S454" s="76">
        <v>4.3577490835030552</v>
      </c>
      <c r="T454" s="66">
        <v>4.2691686094920902</v>
      </c>
      <c r="U454" s="67">
        <f t="shared" si="22"/>
        <v>4.3134588464975732</v>
      </c>
      <c r="V454" s="66">
        <v>4.3075650438946544</v>
      </c>
    </row>
    <row r="455" spans="1:22">
      <c r="A455" s="33" t="s">
        <v>129</v>
      </c>
      <c r="B455" s="37" t="s">
        <v>65</v>
      </c>
      <c r="C455" s="37" t="s">
        <v>22</v>
      </c>
      <c r="D455" s="35">
        <v>22</v>
      </c>
      <c r="E455" s="35">
        <v>10000</v>
      </c>
      <c r="F455" s="35">
        <v>3</v>
      </c>
      <c r="G455" s="37">
        <v>3</v>
      </c>
      <c r="H455" s="33" t="s">
        <v>199</v>
      </c>
      <c r="I455" s="33">
        <v>4</v>
      </c>
      <c r="J455" s="33">
        <v>3</v>
      </c>
      <c r="K455" s="33" t="s">
        <v>276</v>
      </c>
      <c r="L455" s="33" t="s">
        <v>158</v>
      </c>
      <c r="M455" s="43" t="s">
        <v>242</v>
      </c>
      <c r="N455" s="35">
        <v>0</v>
      </c>
      <c r="O455" s="51">
        <v>2.2080000000000837</v>
      </c>
      <c r="P455" s="51">
        <v>2.2080000000000837</v>
      </c>
      <c r="Q455" s="64">
        <v>1</v>
      </c>
      <c r="R455" s="76">
        <v>4.1673740157480319</v>
      </c>
      <c r="S455" s="76">
        <v>4.1673740157480319</v>
      </c>
      <c r="T455" s="66">
        <v>4.0182111111111114</v>
      </c>
      <c r="U455" s="67">
        <f t="shared" si="22"/>
        <v>4.0927925634295717</v>
      </c>
      <c r="V455" s="66">
        <v>4.0915391915641477</v>
      </c>
    </row>
    <row r="456" spans="1:22">
      <c r="A456" s="33" t="s">
        <v>129</v>
      </c>
      <c r="B456" s="37" t="s">
        <v>65</v>
      </c>
      <c r="C456" s="37" t="s">
        <v>22</v>
      </c>
      <c r="D456" s="35">
        <v>22</v>
      </c>
      <c r="E456" s="35">
        <v>10000</v>
      </c>
      <c r="F456" s="35">
        <v>3</v>
      </c>
      <c r="G456" s="37">
        <v>3</v>
      </c>
      <c r="H456" s="33" t="s">
        <v>199</v>
      </c>
      <c r="I456" s="33">
        <v>5</v>
      </c>
      <c r="J456" s="33">
        <v>4</v>
      </c>
      <c r="K456" s="33" t="s">
        <v>275</v>
      </c>
      <c r="L456" s="33" t="s">
        <v>155</v>
      </c>
      <c r="M456" s="43" t="s">
        <v>242</v>
      </c>
      <c r="N456" s="35">
        <v>0</v>
      </c>
      <c r="O456" s="51" t="s">
        <v>395</v>
      </c>
      <c r="P456" s="51"/>
      <c r="Q456" s="64">
        <v>0</v>
      </c>
      <c r="R456" s="76">
        <v>3.9383762242485649</v>
      </c>
      <c r="S456" s="76">
        <v>3.9383762242485649</v>
      </c>
      <c r="T456" s="66">
        <v>3.8898530598520509</v>
      </c>
      <c r="U456" s="67">
        <f t="shared" si="22"/>
        <v>3.9141146420503077</v>
      </c>
      <c r="V456" s="66">
        <v>3.9129101274312541</v>
      </c>
    </row>
    <row r="457" spans="1:22">
      <c r="A457" s="33" t="s">
        <v>129</v>
      </c>
      <c r="B457" s="37" t="s">
        <v>65</v>
      </c>
      <c r="C457" s="37" t="s">
        <v>22</v>
      </c>
      <c r="D457" s="35">
        <v>22</v>
      </c>
      <c r="E457" s="35">
        <v>10000</v>
      </c>
      <c r="F457" s="35">
        <v>3</v>
      </c>
      <c r="G457" s="37">
        <v>3</v>
      </c>
      <c r="H457" s="33" t="s">
        <v>199</v>
      </c>
      <c r="I457" s="33">
        <v>6</v>
      </c>
      <c r="J457" s="33">
        <v>5</v>
      </c>
      <c r="K457" s="33" t="s">
        <v>275</v>
      </c>
      <c r="L457" s="33" t="s">
        <v>154</v>
      </c>
      <c r="M457" s="43" t="s">
        <v>242</v>
      </c>
      <c r="N457" s="35">
        <v>0</v>
      </c>
      <c r="O457" s="51">
        <v>9.1100000000001273</v>
      </c>
      <c r="P457" s="51">
        <v>9.1100000000001273</v>
      </c>
      <c r="Q457" s="64">
        <v>1</v>
      </c>
      <c r="R457" s="76">
        <v>4.184066538461539</v>
      </c>
      <c r="S457" s="76">
        <v>4.184066538461539</v>
      </c>
      <c r="T457" s="66">
        <v>4.039410741885626</v>
      </c>
      <c r="U457" s="67">
        <f t="shared" si="22"/>
        <v>4.1117386401735825</v>
      </c>
      <c r="V457" s="66">
        <v>4.1164273952095796</v>
      </c>
    </row>
    <row r="458" spans="1:22">
      <c r="A458" s="32" t="s">
        <v>123</v>
      </c>
      <c r="B458" s="35" t="s">
        <v>65</v>
      </c>
      <c r="C458" s="35" t="s">
        <v>22</v>
      </c>
      <c r="D458" s="35">
        <v>25</v>
      </c>
      <c r="E458" s="35">
        <v>700</v>
      </c>
      <c r="F458" s="35">
        <v>3</v>
      </c>
      <c r="G458" s="35">
        <v>1</v>
      </c>
      <c r="H458" s="32" t="s">
        <v>197</v>
      </c>
      <c r="I458" s="32">
        <v>1</v>
      </c>
      <c r="J458" s="32">
        <v>1</v>
      </c>
      <c r="K458" s="32" t="s">
        <v>275</v>
      </c>
      <c r="L458" s="32" t="s">
        <v>154</v>
      </c>
      <c r="M458" s="42" t="s">
        <v>357</v>
      </c>
      <c r="N458" s="35">
        <v>0</v>
      </c>
      <c r="O458" s="51">
        <v>6.2869999999999777</v>
      </c>
      <c r="P458" s="51">
        <v>6.2869999999999777</v>
      </c>
      <c r="Q458" s="64">
        <v>1</v>
      </c>
      <c r="R458" s="76">
        <v>3.9898166956521739</v>
      </c>
      <c r="S458" s="76">
        <v>3.9898166956521739</v>
      </c>
      <c r="T458" s="66">
        <v>3.8557000345184669</v>
      </c>
      <c r="U458" s="67">
        <f t="shared" si="22"/>
        <v>3.9227583650853202</v>
      </c>
      <c r="V458" s="66">
        <v>3.9231112984822931</v>
      </c>
    </row>
    <row r="459" spans="1:22">
      <c r="A459" s="32" t="s">
        <v>123</v>
      </c>
      <c r="B459" s="35" t="s">
        <v>65</v>
      </c>
      <c r="C459" s="35" t="s">
        <v>22</v>
      </c>
      <c r="D459" s="35">
        <v>25</v>
      </c>
      <c r="E459" s="35">
        <v>700</v>
      </c>
      <c r="F459" s="35">
        <v>3</v>
      </c>
      <c r="G459" s="35">
        <v>1</v>
      </c>
      <c r="H459" s="32" t="s">
        <v>197</v>
      </c>
      <c r="I459" s="32">
        <v>2</v>
      </c>
      <c r="J459" s="32">
        <v>2</v>
      </c>
      <c r="K459" s="32" t="s">
        <v>276</v>
      </c>
      <c r="L459" s="32" t="s">
        <v>155</v>
      </c>
      <c r="M459" s="42" t="s">
        <v>357</v>
      </c>
      <c r="N459" s="35">
        <v>0</v>
      </c>
      <c r="O459" s="51">
        <v>1.7710000000000719</v>
      </c>
      <c r="P459" s="51">
        <v>1.7710000000000719</v>
      </c>
      <c r="Q459" s="64">
        <v>1</v>
      </c>
      <c r="R459" s="76">
        <v>3.882764888123925</v>
      </c>
      <c r="S459" s="76">
        <v>3.882764888123925</v>
      </c>
      <c r="T459" s="66">
        <v>3.7365408093278472</v>
      </c>
      <c r="U459" s="67">
        <f t="shared" si="22"/>
        <v>3.8096528487258858</v>
      </c>
      <c r="V459" s="66">
        <v>3.811214645616392</v>
      </c>
    </row>
    <row r="460" spans="1:22">
      <c r="A460" s="32" t="s">
        <v>123</v>
      </c>
      <c r="B460" s="35" t="s">
        <v>65</v>
      </c>
      <c r="C460" s="35" t="s">
        <v>22</v>
      </c>
      <c r="D460" s="35">
        <v>25</v>
      </c>
      <c r="E460" s="35">
        <v>700</v>
      </c>
      <c r="F460" s="35">
        <v>3</v>
      </c>
      <c r="G460" s="35">
        <v>1</v>
      </c>
      <c r="H460" s="32" t="s">
        <v>197</v>
      </c>
      <c r="I460" s="32">
        <v>3</v>
      </c>
      <c r="J460" s="32">
        <v>3</v>
      </c>
      <c r="K460" s="32" t="s">
        <v>275</v>
      </c>
      <c r="L460" s="32" t="s">
        <v>158</v>
      </c>
      <c r="M460" s="42" t="s">
        <v>357</v>
      </c>
      <c r="N460" s="35">
        <v>0</v>
      </c>
      <c r="O460" s="51">
        <v>2.4639999999999418</v>
      </c>
      <c r="P460" s="51">
        <v>2.4639999999999418</v>
      </c>
      <c r="Q460" s="64">
        <v>1</v>
      </c>
      <c r="R460" s="76">
        <v>3.9298265480670538</v>
      </c>
      <c r="S460" s="76">
        <v>3.9298265480670538</v>
      </c>
      <c r="T460" s="66">
        <v>3.7858846809962472</v>
      </c>
      <c r="U460" s="67">
        <f t="shared" si="22"/>
        <v>3.8578556145316503</v>
      </c>
      <c r="V460" s="66">
        <v>3.8610532978014662</v>
      </c>
    </row>
    <row r="461" spans="1:22">
      <c r="A461" s="32" t="s">
        <v>123</v>
      </c>
      <c r="B461" s="35" t="s">
        <v>65</v>
      </c>
      <c r="C461" s="35" t="s">
        <v>22</v>
      </c>
      <c r="D461" s="35">
        <v>25</v>
      </c>
      <c r="E461" s="35">
        <v>700</v>
      </c>
      <c r="F461" s="35">
        <v>3</v>
      </c>
      <c r="G461" s="35">
        <v>1</v>
      </c>
      <c r="H461" s="32" t="s">
        <v>197</v>
      </c>
      <c r="I461" s="32">
        <v>4</v>
      </c>
      <c r="J461" s="32">
        <v>4</v>
      </c>
      <c r="K461" s="32" t="s">
        <v>276</v>
      </c>
      <c r="L461" s="32" t="s">
        <v>157</v>
      </c>
      <c r="M461" s="42" t="s">
        <v>357</v>
      </c>
      <c r="N461" s="35">
        <v>0</v>
      </c>
      <c r="O461" s="51">
        <v>3.8769999999999527</v>
      </c>
      <c r="P461" s="51">
        <v>3.8769999999999527</v>
      </c>
      <c r="Q461" s="64">
        <v>1</v>
      </c>
      <c r="R461" s="76">
        <v>3.8693004807692311</v>
      </c>
      <c r="S461" s="76">
        <v>3.8693004807692311</v>
      </c>
      <c r="T461" s="66">
        <v>3.7403097345132741</v>
      </c>
      <c r="U461" s="67">
        <f t="shared" si="22"/>
        <v>3.8048051076412523</v>
      </c>
      <c r="V461" s="66">
        <v>3.8044363025210091</v>
      </c>
    </row>
    <row r="462" spans="1:22">
      <c r="A462" s="32" t="s">
        <v>123</v>
      </c>
      <c r="B462" s="35" t="s">
        <v>65</v>
      </c>
      <c r="C462" s="35" t="s">
        <v>22</v>
      </c>
      <c r="D462" s="35">
        <v>25</v>
      </c>
      <c r="E462" s="35">
        <v>700</v>
      </c>
      <c r="F462" s="35">
        <v>3</v>
      </c>
      <c r="G462" s="35">
        <v>1</v>
      </c>
      <c r="H462" s="32" t="s">
        <v>197</v>
      </c>
      <c r="I462" s="32">
        <v>5</v>
      </c>
      <c r="K462" s="32" t="s">
        <v>276</v>
      </c>
      <c r="L462" s="32" t="s">
        <v>156</v>
      </c>
      <c r="M462" s="42" t="s">
        <v>357</v>
      </c>
      <c r="N462" s="35"/>
      <c r="O462" s="51"/>
      <c r="P462" s="51"/>
      <c r="Q462" s="64"/>
    </row>
    <row r="463" spans="1:22">
      <c r="A463" s="32" t="s">
        <v>123</v>
      </c>
      <c r="B463" s="35" t="s">
        <v>65</v>
      </c>
      <c r="C463" s="35" t="s">
        <v>22</v>
      </c>
      <c r="D463" s="35">
        <v>25</v>
      </c>
      <c r="E463" s="35">
        <v>700</v>
      </c>
      <c r="F463" s="35">
        <v>3</v>
      </c>
      <c r="G463" s="35">
        <v>1</v>
      </c>
      <c r="H463" s="32" t="s">
        <v>197</v>
      </c>
      <c r="I463" s="32">
        <v>6</v>
      </c>
      <c r="J463" s="32">
        <v>5</v>
      </c>
      <c r="K463" s="32" t="s">
        <v>275</v>
      </c>
      <c r="L463" s="32" t="s">
        <v>153</v>
      </c>
      <c r="M463" s="42" t="s">
        <v>357</v>
      </c>
      <c r="N463" s="35">
        <v>0</v>
      </c>
      <c r="O463" s="51">
        <v>1.3730000000000473</v>
      </c>
      <c r="P463" s="51">
        <v>1.3730000000000473</v>
      </c>
      <c r="Q463" s="64">
        <v>1</v>
      </c>
      <c r="R463" s="76">
        <v>3.761255167739749</v>
      </c>
      <c r="S463" s="76">
        <v>3.761255167739749</v>
      </c>
      <c r="T463" s="66">
        <v>3.618100270087778</v>
      </c>
      <c r="U463" s="67">
        <f t="shared" ref="U463:U478" si="23">AVERAGE(S463:T463)</f>
        <v>3.6896777189137637</v>
      </c>
      <c r="V463" s="66">
        <v>3.6899836503169841</v>
      </c>
    </row>
    <row r="464" spans="1:22">
      <c r="A464" s="32" t="s">
        <v>123</v>
      </c>
      <c r="B464" s="35" t="s">
        <v>65</v>
      </c>
      <c r="C464" s="35" t="s">
        <v>14</v>
      </c>
      <c r="D464" s="35">
        <v>25</v>
      </c>
      <c r="E464" s="35">
        <v>700</v>
      </c>
      <c r="F464" s="35">
        <v>3</v>
      </c>
      <c r="G464" s="35">
        <v>2</v>
      </c>
      <c r="H464" s="32" t="s">
        <v>194</v>
      </c>
      <c r="I464" s="32">
        <v>1</v>
      </c>
      <c r="J464" s="32">
        <v>1</v>
      </c>
      <c r="K464" s="32" t="s">
        <v>275</v>
      </c>
      <c r="L464" s="32" t="s">
        <v>153</v>
      </c>
      <c r="M464" s="46" t="s">
        <v>358</v>
      </c>
      <c r="N464" s="35">
        <v>0</v>
      </c>
      <c r="O464" s="51">
        <v>7.8999999999999773</v>
      </c>
      <c r="P464" s="51">
        <v>7.8999999999999773</v>
      </c>
      <c r="Q464" s="64">
        <v>1</v>
      </c>
      <c r="R464" s="76">
        <v>3.9656098562628328</v>
      </c>
      <c r="S464" s="76">
        <v>3.9656098562628328</v>
      </c>
      <c r="T464" s="66">
        <v>3.8671782945736428</v>
      </c>
      <c r="U464" s="67">
        <f t="shared" si="23"/>
        <v>3.9163940754182378</v>
      </c>
      <c r="V464" s="66">
        <v>3.9148827448367749</v>
      </c>
    </row>
    <row r="465" spans="1:22">
      <c r="A465" s="32" t="s">
        <v>123</v>
      </c>
      <c r="B465" s="35" t="s">
        <v>65</v>
      </c>
      <c r="C465" s="35" t="s">
        <v>14</v>
      </c>
      <c r="D465" s="35">
        <v>25</v>
      </c>
      <c r="E465" s="35">
        <v>700</v>
      </c>
      <c r="F465" s="35">
        <v>3</v>
      </c>
      <c r="G465" s="35">
        <v>2</v>
      </c>
      <c r="H465" s="32" t="s">
        <v>194</v>
      </c>
      <c r="I465" s="32">
        <v>2</v>
      </c>
      <c r="J465" s="32">
        <v>2</v>
      </c>
      <c r="K465" s="32" t="s">
        <v>276</v>
      </c>
      <c r="L465" s="32" t="s">
        <v>154</v>
      </c>
      <c r="M465" s="46" t="s">
        <v>358</v>
      </c>
      <c r="N465" s="35">
        <v>0</v>
      </c>
      <c r="O465" s="51">
        <v>11</v>
      </c>
      <c r="P465" s="51">
        <v>11</v>
      </c>
      <c r="Q465" s="64">
        <v>1</v>
      </c>
      <c r="R465" s="76">
        <v>3.8100474240873421</v>
      </c>
      <c r="S465" s="76">
        <v>3.8100474240873421</v>
      </c>
      <c r="T465" s="66">
        <v>3.6998763131141978</v>
      </c>
      <c r="U465" s="67">
        <f t="shared" si="23"/>
        <v>3.7549618686007697</v>
      </c>
      <c r="V465" s="66">
        <v>3.754376719221737</v>
      </c>
    </row>
    <row r="466" spans="1:22">
      <c r="A466" s="32" t="s">
        <v>123</v>
      </c>
      <c r="B466" s="35" t="s">
        <v>65</v>
      </c>
      <c r="C466" s="35" t="s">
        <v>14</v>
      </c>
      <c r="D466" s="35">
        <v>25</v>
      </c>
      <c r="E466" s="35">
        <v>700</v>
      </c>
      <c r="F466" s="35">
        <v>3</v>
      </c>
      <c r="G466" s="35">
        <v>2</v>
      </c>
      <c r="H466" s="32" t="s">
        <v>194</v>
      </c>
      <c r="I466" s="32">
        <v>3</v>
      </c>
      <c r="J466" s="32">
        <v>3</v>
      </c>
      <c r="K466" s="32" t="s">
        <v>276</v>
      </c>
      <c r="L466" s="32" t="s">
        <v>155</v>
      </c>
      <c r="M466" s="46" t="s">
        <v>232</v>
      </c>
      <c r="N466" s="35">
        <v>0</v>
      </c>
      <c r="O466" s="51">
        <v>2.42999999999995</v>
      </c>
      <c r="P466" s="51">
        <v>2.42999999999995</v>
      </c>
      <c r="Q466" s="64">
        <v>1</v>
      </c>
      <c r="R466" s="76">
        <v>3.9557394701086959</v>
      </c>
      <c r="S466" s="76">
        <v>3.9557394701086959</v>
      </c>
      <c r="T466" s="66">
        <v>3.7982967589466581</v>
      </c>
      <c r="U466" s="67">
        <f t="shared" si="23"/>
        <v>3.8770181145276768</v>
      </c>
      <c r="V466" s="66">
        <v>3.877586310517529</v>
      </c>
    </row>
    <row r="467" spans="1:22">
      <c r="A467" s="32" t="s">
        <v>123</v>
      </c>
      <c r="B467" s="35" t="s">
        <v>65</v>
      </c>
      <c r="C467" s="35" t="s">
        <v>14</v>
      </c>
      <c r="D467" s="35">
        <v>25</v>
      </c>
      <c r="E467" s="35">
        <v>700</v>
      </c>
      <c r="F467" s="35">
        <v>3</v>
      </c>
      <c r="G467" s="35">
        <v>2</v>
      </c>
      <c r="H467" s="32" t="s">
        <v>194</v>
      </c>
      <c r="I467" s="32">
        <v>4</v>
      </c>
      <c r="K467" s="32" t="s">
        <v>275</v>
      </c>
      <c r="L467" s="32" t="s">
        <v>156</v>
      </c>
      <c r="M467" s="46" t="s">
        <v>232</v>
      </c>
      <c r="N467" s="35"/>
      <c r="O467" s="51"/>
      <c r="P467" s="51"/>
      <c r="Q467" s="64"/>
      <c r="R467" s="76">
        <v>4.8120000000000003</v>
      </c>
      <c r="S467" s="76">
        <v>4.8120000000000003</v>
      </c>
      <c r="T467" s="66">
        <v>4.657</v>
      </c>
      <c r="U467" s="67">
        <f t="shared" si="23"/>
        <v>4.7345000000000006</v>
      </c>
      <c r="V467" s="66">
        <v>4.734</v>
      </c>
    </row>
    <row r="468" spans="1:22">
      <c r="A468" s="32" t="s">
        <v>123</v>
      </c>
      <c r="B468" s="35" t="s">
        <v>65</v>
      </c>
      <c r="C468" s="35" t="s">
        <v>14</v>
      </c>
      <c r="D468" s="35">
        <v>25</v>
      </c>
      <c r="E468" s="35">
        <v>700</v>
      </c>
      <c r="F468" s="35">
        <v>3</v>
      </c>
      <c r="G468" s="35">
        <v>2</v>
      </c>
      <c r="H468" s="32" t="s">
        <v>194</v>
      </c>
      <c r="I468" s="32">
        <v>5</v>
      </c>
      <c r="J468" s="32">
        <v>4</v>
      </c>
      <c r="K468" s="32" t="s">
        <v>276</v>
      </c>
      <c r="L468" s="32" t="s">
        <v>157</v>
      </c>
      <c r="M468" s="46" t="s">
        <v>232</v>
      </c>
      <c r="N468" s="35">
        <v>0</v>
      </c>
      <c r="O468" s="51" t="s">
        <v>394</v>
      </c>
      <c r="P468" s="51" t="s">
        <v>394</v>
      </c>
      <c r="Q468" s="64" t="s">
        <v>274</v>
      </c>
      <c r="R468" s="76">
        <v>3.8645016937669379</v>
      </c>
      <c r="S468" s="76">
        <v>3.8645016937669379</v>
      </c>
      <c r="T468" s="66">
        <v>3.7204815560026829</v>
      </c>
      <c r="U468" s="67">
        <f t="shared" si="23"/>
        <v>3.7924916248848106</v>
      </c>
      <c r="V468" s="66">
        <v>3.793128914057295</v>
      </c>
    </row>
    <row r="469" spans="1:22">
      <c r="A469" s="32" t="s">
        <v>123</v>
      </c>
      <c r="B469" s="35" t="s">
        <v>65</v>
      </c>
      <c r="C469" s="35" t="s">
        <v>14</v>
      </c>
      <c r="D469" s="35">
        <v>25</v>
      </c>
      <c r="E469" s="35">
        <v>700</v>
      </c>
      <c r="F469" s="35">
        <v>3</v>
      </c>
      <c r="G469" s="35">
        <v>2</v>
      </c>
      <c r="H469" s="32" t="s">
        <v>194</v>
      </c>
      <c r="I469" s="32">
        <v>6</v>
      </c>
      <c r="J469" s="32">
        <v>5</v>
      </c>
      <c r="K469" s="32" t="s">
        <v>275</v>
      </c>
      <c r="L469" s="32" t="s">
        <v>158</v>
      </c>
      <c r="M469" s="46" t="s">
        <v>232</v>
      </c>
      <c r="N469" s="35">
        <v>0</v>
      </c>
      <c r="O469" s="51">
        <v>3.9180000000001201</v>
      </c>
      <c r="P469" s="51">
        <v>3.9180000000001201</v>
      </c>
      <c r="Q469" s="64">
        <v>1</v>
      </c>
      <c r="R469" s="76">
        <v>3.884258787043418</v>
      </c>
      <c r="S469" s="76">
        <v>3.884258787043418</v>
      </c>
      <c r="T469" s="66">
        <v>3.7434518970189701</v>
      </c>
      <c r="U469" s="67">
        <f t="shared" si="23"/>
        <v>3.8138553420311938</v>
      </c>
      <c r="V469" s="66">
        <v>3.8161460147354318</v>
      </c>
    </row>
    <row r="470" spans="1:22">
      <c r="A470" s="36" t="s">
        <v>132</v>
      </c>
      <c r="B470" s="40" t="s">
        <v>65</v>
      </c>
      <c r="C470" s="40" t="s">
        <v>14</v>
      </c>
      <c r="D470" s="35">
        <v>64</v>
      </c>
      <c r="E470" s="35">
        <v>30000</v>
      </c>
      <c r="F470" s="35">
        <v>47</v>
      </c>
      <c r="G470" s="40">
        <v>1</v>
      </c>
      <c r="H470" s="36" t="s">
        <v>197</v>
      </c>
      <c r="I470" s="36">
        <v>1</v>
      </c>
      <c r="J470" s="36">
        <v>1</v>
      </c>
      <c r="K470" s="36" t="s">
        <v>275</v>
      </c>
      <c r="L470" s="36" t="s">
        <v>154</v>
      </c>
      <c r="M470" s="43" t="s">
        <v>360</v>
      </c>
      <c r="N470" s="35">
        <v>0</v>
      </c>
      <c r="O470" s="51">
        <v>10.254000000000019</v>
      </c>
      <c r="P470" s="51">
        <v>10.254000000000019</v>
      </c>
      <c r="Q470" s="64">
        <v>1</v>
      </c>
      <c r="R470" s="76">
        <v>3.030231572481572</v>
      </c>
      <c r="S470" s="76">
        <v>3.030231572481572</v>
      </c>
      <c r="T470" s="66">
        <v>3.1746490041337849</v>
      </c>
      <c r="U470" s="67">
        <f t="shared" si="23"/>
        <v>3.1024402883076787</v>
      </c>
      <c r="V470" s="66">
        <v>3.1351227948806639</v>
      </c>
    </row>
    <row r="471" spans="1:22">
      <c r="A471" s="33" t="s">
        <v>132</v>
      </c>
      <c r="B471" s="37" t="s">
        <v>65</v>
      </c>
      <c r="C471" s="37" t="s">
        <v>14</v>
      </c>
      <c r="D471" s="35">
        <v>64</v>
      </c>
      <c r="E471" s="35">
        <v>30000</v>
      </c>
      <c r="F471" s="35">
        <v>47</v>
      </c>
      <c r="G471" s="37">
        <v>1</v>
      </c>
      <c r="H471" s="33" t="s">
        <v>197</v>
      </c>
      <c r="I471" s="33">
        <v>2</v>
      </c>
      <c r="J471" s="33">
        <v>2</v>
      </c>
      <c r="K471" s="33" t="s">
        <v>276</v>
      </c>
      <c r="L471" s="33" t="s">
        <v>155</v>
      </c>
      <c r="M471" s="43" t="s">
        <v>360</v>
      </c>
      <c r="N471" s="35">
        <v>0</v>
      </c>
      <c r="O471" s="51">
        <v>0.85099999999999909</v>
      </c>
      <c r="P471" s="51">
        <v>0.85099999999999909</v>
      </c>
      <c r="Q471" s="64">
        <v>1</v>
      </c>
      <c r="R471" s="76">
        <v>2.930219553072626</v>
      </c>
      <c r="S471" s="76">
        <v>2.930219553072626</v>
      </c>
      <c r="T471" s="66">
        <v>3.0748890882986362</v>
      </c>
      <c r="U471" s="67">
        <f t="shared" si="23"/>
        <v>3.0025543206856309</v>
      </c>
      <c r="V471" s="66">
        <v>3.0409562878278411</v>
      </c>
    </row>
    <row r="472" spans="1:22">
      <c r="A472" s="33" t="s">
        <v>132</v>
      </c>
      <c r="B472" s="37" t="s">
        <v>65</v>
      </c>
      <c r="C472" s="37" t="s">
        <v>14</v>
      </c>
      <c r="D472" s="35">
        <v>64</v>
      </c>
      <c r="E472" s="35">
        <v>30000</v>
      </c>
      <c r="F472" s="35">
        <v>47</v>
      </c>
      <c r="G472" s="37">
        <v>1</v>
      </c>
      <c r="H472" s="33" t="s">
        <v>197</v>
      </c>
      <c r="I472" s="33">
        <v>3</v>
      </c>
      <c r="J472" s="33">
        <v>3</v>
      </c>
      <c r="K472" s="33" t="s">
        <v>275</v>
      </c>
      <c r="L472" s="33" t="s">
        <v>158</v>
      </c>
      <c r="M472" s="43" t="s">
        <v>360</v>
      </c>
      <c r="N472" s="35">
        <v>0</v>
      </c>
      <c r="O472" s="51">
        <v>0.40000000000009095</v>
      </c>
      <c r="P472" s="51">
        <v>0.40000000000009095</v>
      </c>
      <c r="Q472" s="64">
        <v>1</v>
      </c>
      <c r="R472" s="76">
        <v>2.9765277435265109</v>
      </c>
      <c r="S472" s="76">
        <v>2.9765277435265109</v>
      </c>
      <c r="T472" s="66">
        <v>3.1197940298507461</v>
      </c>
      <c r="U472" s="67">
        <f t="shared" si="23"/>
        <v>3.0481608866886285</v>
      </c>
      <c r="V472" s="66">
        <v>3.0818726655348052</v>
      </c>
    </row>
    <row r="473" spans="1:22">
      <c r="A473" s="33" t="s">
        <v>132</v>
      </c>
      <c r="B473" s="37" t="s">
        <v>65</v>
      </c>
      <c r="C473" s="37" t="s">
        <v>14</v>
      </c>
      <c r="D473" s="35">
        <v>64</v>
      </c>
      <c r="E473" s="35">
        <v>30000</v>
      </c>
      <c r="F473" s="35">
        <v>47</v>
      </c>
      <c r="G473" s="37">
        <v>1</v>
      </c>
      <c r="H473" s="33" t="s">
        <v>197</v>
      </c>
      <c r="I473" s="33">
        <v>4</v>
      </c>
      <c r="J473" s="33">
        <v>4</v>
      </c>
      <c r="K473" s="33" t="s">
        <v>276</v>
      </c>
      <c r="L473" s="33" t="s">
        <v>157</v>
      </c>
      <c r="M473" s="43" t="s">
        <v>360</v>
      </c>
      <c r="N473" s="35">
        <v>0</v>
      </c>
      <c r="O473" s="51">
        <v>5.2889999999999873</v>
      </c>
      <c r="P473" s="51">
        <v>5.2889999999999873</v>
      </c>
      <c r="Q473" s="64">
        <v>1</v>
      </c>
      <c r="R473" s="76">
        <v>2.90561629379485</v>
      </c>
      <c r="S473" s="76">
        <v>2.90561629379485</v>
      </c>
      <c r="T473" s="66">
        <v>2.9872059377945339</v>
      </c>
      <c r="U473" s="67">
        <f t="shared" si="23"/>
        <v>2.9464111157946919</v>
      </c>
      <c r="V473" s="66">
        <v>2.9652543541364298</v>
      </c>
    </row>
    <row r="474" spans="1:22">
      <c r="A474" s="33" t="s">
        <v>132</v>
      </c>
      <c r="B474" s="37" t="s">
        <v>65</v>
      </c>
      <c r="C474" s="37" t="s">
        <v>14</v>
      </c>
      <c r="D474" s="35">
        <v>64</v>
      </c>
      <c r="E474" s="35">
        <v>30000</v>
      </c>
      <c r="F474" s="35">
        <v>47</v>
      </c>
      <c r="G474" s="37">
        <v>1</v>
      </c>
      <c r="H474" s="33" t="s">
        <v>197</v>
      </c>
      <c r="I474" s="33">
        <v>5</v>
      </c>
      <c r="J474" s="33"/>
      <c r="K474" s="33" t="s">
        <v>276</v>
      </c>
      <c r="L474" s="33" t="s">
        <v>156</v>
      </c>
      <c r="M474" s="43" t="s">
        <v>360</v>
      </c>
      <c r="N474" s="35"/>
      <c r="O474" s="51"/>
      <c r="P474" s="51"/>
      <c r="Q474" s="64"/>
      <c r="R474" s="76">
        <v>3.4409999999999998</v>
      </c>
      <c r="S474" s="76">
        <v>3.4409999999999998</v>
      </c>
      <c r="T474" s="66">
        <v>3.62</v>
      </c>
      <c r="U474" s="67">
        <f t="shared" si="23"/>
        <v>3.5305</v>
      </c>
      <c r="V474" s="66">
        <v>3.53</v>
      </c>
    </row>
    <row r="475" spans="1:22">
      <c r="A475" s="33" t="s">
        <v>132</v>
      </c>
      <c r="B475" s="37" t="s">
        <v>65</v>
      </c>
      <c r="C475" s="37" t="s">
        <v>14</v>
      </c>
      <c r="D475" s="35">
        <v>64</v>
      </c>
      <c r="E475" s="35">
        <v>30000</v>
      </c>
      <c r="F475" s="35">
        <v>47</v>
      </c>
      <c r="G475" s="37">
        <v>1</v>
      </c>
      <c r="H475" s="33" t="s">
        <v>197</v>
      </c>
      <c r="I475" s="33">
        <v>6</v>
      </c>
      <c r="J475" s="33">
        <v>5</v>
      </c>
      <c r="K475" s="33" t="s">
        <v>275</v>
      </c>
      <c r="L475" s="33" t="s">
        <v>153</v>
      </c>
      <c r="M475" s="43" t="s">
        <v>360</v>
      </c>
      <c r="N475" s="35">
        <v>0</v>
      </c>
      <c r="O475" s="51">
        <v>5.8499999999999091</v>
      </c>
      <c r="P475" s="51">
        <v>5.8499999999999091</v>
      </c>
      <c r="Q475" s="64">
        <v>1</v>
      </c>
      <c r="R475" s="76">
        <v>2.9127877068557919</v>
      </c>
      <c r="S475" s="76">
        <v>2.9127877068557919</v>
      </c>
      <c r="T475" s="66">
        <v>2.9935694915254238</v>
      </c>
      <c r="U475" s="67">
        <f t="shared" si="23"/>
        <v>2.9531785991906077</v>
      </c>
      <c r="V475" s="66">
        <v>2.9785169912180218</v>
      </c>
    </row>
    <row r="476" spans="1:22">
      <c r="A476" s="33" t="s">
        <v>132</v>
      </c>
      <c r="B476" s="37" t="s">
        <v>65</v>
      </c>
      <c r="C476" s="37" t="s">
        <v>22</v>
      </c>
      <c r="D476" s="35">
        <v>64</v>
      </c>
      <c r="E476" s="35">
        <v>30000</v>
      </c>
      <c r="F476" s="35">
        <v>47</v>
      </c>
      <c r="G476" s="37">
        <v>2</v>
      </c>
      <c r="H476" s="33" t="s">
        <v>194</v>
      </c>
      <c r="I476" s="33">
        <v>1</v>
      </c>
      <c r="J476" s="33">
        <v>1</v>
      </c>
      <c r="K476" s="33" t="s">
        <v>275</v>
      </c>
      <c r="L476" s="33" t="s">
        <v>153</v>
      </c>
      <c r="M476" s="48" t="s">
        <v>361</v>
      </c>
      <c r="N476" s="35">
        <v>0</v>
      </c>
      <c r="O476" s="51">
        <v>4.6499999999998636</v>
      </c>
      <c r="P476" s="51">
        <v>4.6499999999998636</v>
      </c>
      <c r="Q476" s="64">
        <v>1</v>
      </c>
      <c r="R476" s="76">
        <v>3.0076816087138671</v>
      </c>
      <c r="S476" s="76">
        <v>3.0076816087138671</v>
      </c>
      <c r="T476" s="66">
        <v>3.1687733180428141</v>
      </c>
      <c r="U476" s="67">
        <f t="shared" si="23"/>
        <v>3.0882274633783409</v>
      </c>
      <c r="V476" s="66">
        <v>3.0972844383373408</v>
      </c>
    </row>
    <row r="477" spans="1:22">
      <c r="A477" s="33" t="s">
        <v>132</v>
      </c>
      <c r="B477" s="37" t="s">
        <v>65</v>
      </c>
      <c r="C477" s="37" t="s">
        <v>22</v>
      </c>
      <c r="D477" s="35">
        <v>64</v>
      </c>
      <c r="E477" s="35">
        <v>30000</v>
      </c>
      <c r="F477" s="35">
        <v>47</v>
      </c>
      <c r="G477" s="37">
        <v>2</v>
      </c>
      <c r="H477" s="33" t="s">
        <v>194</v>
      </c>
      <c r="I477" s="33">
        <v>2</v>
      </c>
      <c r="J477" s="33">
        <v>2</v>
      </c>
      <c r="K477" s="33" t="s">
        <v>276</v>
      </c>
      <c r="L477" s="33" t="s">
        <v>154</v>
      </c>
      <c r="M477" s="49" t="s">
        <v>361</v>
      </c>
      <c r="N477" s="35">
        <v>0</v>
      </c>
      <c r="O477" s="51">
        <v>1.8000000000001819</v>
      </c>
      <c r="P477" s="51">
        <v>1.8000000000001819</v>
      </c>
      <c r="Q477" s="64">
        <v>1</v>
      </c>
      <c r="R477" s="76">
        <v>2.836527885862516</v>
      </c>
      <c r="S477" s="76">
        <v>2.836527885862516</v>
      </c>
      <c r="T477" s="66">
        <v>2.9819893303899931</v>
      </c>
      <c r="U477" s="67">
        <f t="shared" si="23"/>
        <v>2.9092586081262546</v>
      </c>
      <c r="V477" s="66">
        <v>2.9301188152137332</v>
      </c>
    </row>
    <row r="478" spans="1:22">
      <c r="A478" s="33" t="s">
        <v>132</v>
      </c>
      <c r="B478" s="37" t="s">
        <v>65</v>
      </c>
      <c r="C478" s="37" t="s">
        <v>22</v>
      </c>
      <c r="D478" s="35">
        <v>64</v>
      </c>
      <c r="E478" s="35">
        <v>30000</v>
      </c>
      <c r="F478" s="35">
        <v>47</v>
      </c>
      <c r="G478" s="37">
        <v>2</v>
      </c>
      <c r="H478" s="33" t="s">
        <v>194</v>
      </c>
      <c r="I478" s="33">
        <v>3</v>
      </c>
      <c r="J478" s="33">
        <v>3</v>
      </c>
      <c r="K478" s="33" t="s">
        <v>276</v>
      </c>
      <c r="L478" s="33" t="s">
        <v>155</v>
      </c>
      <c r="M478" s="49" t="s">
        <v>254</v>
      </c>
      <c r="N478" s="35">
        <v>0</v>
      </c>
      <c r="O478" s="51">
        <v>2.1099999999999</v>
      </c>
      <c r="P478" s="51">
        <v>2.1099999999999</v>
      </c>
      <c r="Q478" s="64">
        <v>1</v>
      </c>
      <c r="R478" s="76">
        <v>2.8373141660319878</v>
      </c>
      <c r="S478" s="76">
        <v>2.8373141660319878</v>
      </c>
      <c r="T478" s="66">
        <v>3.017425863991082</v>
      </c>
      <c r="U478" s="67">
        <f t="shared" si="23"/>
        <v>2.9273700150115349</v>
      </c>
      <c r="V478" s="66">
        <v>2.9404180130629078</v>
      </c>
    </row>
    <row r="479" spans="1:22">
      <c r="A479" s="33" t="s">
        <v>132</v>
      </c>
      <c r="B479" s="37" t="s">
        <v>65</v>
      </c>
      <c r="C479" s="37" t="s">
        <v>22</v>
      </c>
      <c r="D479" s="35">
        <v>64</v>
      </c>
      <c r="E479" s="35">
        <v>30000</v>
      </c>
      <c r="F479" s="35">
        <v>47</v>
      </c>
      <c r="G479" s="37">
        <v>2</v>
      </c>
      <c r="H479" s="33" t="s">
        <v>194</v>
      </c>
      <c r="I479" s="33">
        <v>4</v>
      </c>
      <c r="J479" s="33"/>
      <c r="K479" s="33" t="s">
        <v>275</v>
      </c>
      <c r="L479" s="33" t="s">
        <v>156</v>
      </c>
      <c r="M479" s="48" t="s">
        <v>254</v>
      </c>
      <c r="N479" s="35"/>
      <c r="O479" s="51"/>
      <c r="P479" s="51"/>
      <c r="Q479" s="64"/>
    </row>
    <row r="480" spans="1:22">
      <c r="A480" s="33" t="s">
        <v>132</v>
      </c>
      <c r="B480" s="37" t="s">
        <v>65</v>
      </c>
      <c r="C480" s="37" t="s">
        <v>22</v>
      </c>
      <c r="D480" s="35">
        <v>64</v>
      </c>
      <c r="E480" s="35">
        <v>30000</v>
      </c>
      <c r="F480" s="35">
        <v>47</v>
      </c>
      <c r="G480" s="37">
        <v>2</v>
      </c>
      <c r="H480" s="33" t="s">
        <v>194</v>
      </c>
      <c r="I480" s="33">
        <v>5</v>
      </c>
      <c r="J480" s="33">
        <v>4</v>
      </c>
      <c r="K480" s="33" t="s">
        <v>276</v>
      </c>
      <c r="L480" s="33" t="s">
        <v>157</v>
      </c>
      <c r="M480" s="49" t="s">
        <v>254</v>
      </c>
      <c r="N480" s="35">
        <v>0</v>
      </c>
      <c r="O480" s="51">
        <v>3.4900000000000091</v>
      </c>
      <c r="P480" s="51">
        <v>3.4900000000000091</v>
      </c>
      <c r="Q480" s="64">
        <v>1</v>
      </c>
      <c r="R480" s="76">
        <v>2.7775079710144932</v>
      </c>
      <c r="S480" s="76">
        <v>2.7775079710144932</v>
      </c>
      <c r="T480" s="66">
        <v>2.9315177358490572</v>
      </c>
      <c r="U480" s="67">
        <f>AVERAGE(S480:T480)</f>
        <v>2.8545128534317752</v>
      </c>
      <c r="V480" s="66">
        <v>2.861843434343434</v>
      </c>
    </row>
    <row r="481" spans="1:22">
      <c r="A481" s="33" t="s">
        <v>132</v>
      </c>
      <c r="B481" s="37" t="s">
        <v>65</v>
      </c>
      <c r="C481" s="37" t="s">
        <v>22</v>
      </c>
      <c r="D481" s="35">
        <v>64</v>
      </c>
      <c r="E481" s="35">
        <v>30000</v>
      </c>
      <c r="F481" s="35">
        <v>47</v>
      </c>
      <c r="G481" s="37">
        <v>2</v>
      </c>
      <c r="H481" s="33" t="s">
        <v>194</v>
      </c>
      <c r="I481" s="33">
        <v>6</v>
      </c>
      <c r="J481" s="33">
        <v>5</v>
      </c>
      <c r="K481" s="33" t="s">
        <v>275</v>
      </c>
      <c r="L481" s="33" t="s">
        <v>158</v>
      </c>
      <c r="M481" s="49" t="s">
        <v>254</v>
      </c>
      <c r="N481" s="35"/>
      <c r="O481" s="51" t="s">
        <v>394</v>
      </c>
      <c r="P481" s="51" t="s">
        <v>394</v>
      </c>
      <c r="Q481" s="64" t="s">
        <v>274</v>
      </c>
    </row>
    <row r="482" spans="1:22">
      <c r="A482" s="33" t="s">
        <v>132</v>
      </c>
      <c r="B482" s="37" t="s">
        <v>65</v>
      </c>
      <c r="C482" s="37" t="s">
        <v>21</v>
      </c>
      <c r="D482" s="35">
        <v>64</v>
      </c>
      <c r="E482" s="35">
        <v>30000</v>
      </c>
      <c r="F482" s="35">
        <v>47</v>
      </c>
      <c r="G482" s="37">
        <v>3</v>
      </c>
      <c r="H482" s="33" t="s">
        <v>199</v>
      </c>
      <c r="I482" s="33">
        <v>1</v>
      </c>
      <c r="J482" s="33"/>
      <c r="K482" s="33" t="s">
        <v>276</v>
      </c>
      <c r="L482" s="33" t="s">
        <v>156</v>
      </c>
      <c r="M482" s="48" t="s">
        <v>362</v>
      </c>
      <c r="N482" s="35"/>
      <c r="O482" s="51"/>
      <c r="P482" s="51"/>
      <c r="Q482" s="64"/>
    </row>
    <row r="483" spans="1:22">
      <c r="A483" s="33" t="s">
        <v>132</v>
      </c>
      <c r="B483" s="37" t="s">
        <v>65</v>
      </c>
      <c r="C483" s="37" t="s">
        <v>21</v>
      </c>
      <c r="D483" s="35">
        <v>64</v>
      </c>
      <c r="E483" s="35">
        <v>30000</v>
      </c>
      <c r="F483" s="35">
        <v>47</v>
      </c>
      <c r="G483" s="37">
        <v>3</v>
      </c>
      <c r="H483" s="33" t="s">
        <v>199</v>
      </c>
      <c r="I483" s="33">
        <v>2</v>
      </c>
      <c r="J483" s="33">
        <v>1</v>
      </c>
      <c r="K483" s="33" t="s">
        <v>275</v>
      </c>
      <c r="L483" s="33" t="s">
        <v>157</v>
      </c>
      <c r="M483" s="48" t="s">
        <v>238</v>
      </c>
      <c r="N483" s="35">
        <v>0</v>
      </c>
      <c r="O483" s="51">
        <v>6.3590000000000373</v>
      </c>
      <c r="P483" s="51">
        <v>6.3590000000000373</v>
      </c>
      <c r="Q483" s="64">
        <v>1</v>
      </c>
      <c r="R483" s="76">
        <v>2.9128383233532928</v>
      </c>
      <c r="S483" s="76">
        <v>2.9128383233532928</v>
      </c>
      <c r="T483" s="66">
        <v>2.990448303078137</v>
      </c>
      <c r="U483" s="67">
        <f t="shared" ref="U483:U514" si="24">AVERAGE(S483:T483)</f>
        <v>2.9516433132157149</v>
      </c>
      <c r="V483" s="66">
        <v>2.9730974990938739</v>
      </c>
    </row>
    <row r="484" spans="1:22">
      <c r="A484" s="33" t="s">
        <v>132</v>
      </c>
      <c r="B484" s="37" t="s">
        <v>65</v>
      </c>
      <c r="C484" s="37" t="s">
        <v>21</v>
      </c>
      <c r="D484" s="35">
        <v>64</v>
      </c>
      <c r="E484" s="35">
        <v>30000</v>
      </c>
      <c r="F484" s="35">
        <v>47</v>
      </c>
      <c r="G484" s="37">
        <v>3</v>
      </c>
      <c r="H484" s="33" t="s">
        <v>199</v>
      </c>
      <c r="I484" s="33">
        <v>3</v>
      </c>
      <c r="J484" s="33">
        <v>2</v>
      </c>
      <c r="K484" s="33" t="s">
        <v>276</v>
      </c>
      <c r="L484" s="33" t="s">
        <v>153</v>
      </c>
      <c r="M484" s="48" t="s">
        <v>238</v>
      </c>
      <c r="N484" s="35">
        <v>0</v>
      </c>
      <c r="O484" s="51">
        <v>8.1999999999999318</v>
      </c>
      <c r="P484" s="51">
        <v>8.1999999999999318</v>
      </c>
      <c r="Q484" s="64">
        <v>1</v>
      </c>
      <c r="R484" s="76">
        <v>2.7713940886699509</v>
      </c>
      <c r="S484" s="76">
        <v>2.7713940886699509</v>
      </c>
      <c r="T484" s="66">
        <v>2.953364981080151</v>
      </c>
      <c r="U484" s="67">
        <f t="shared" si="24"/>
        <v>2.8623795348750507</v>
      </c>
      <c r="V484" s="66">
        <v>2.9493685286103539</v>
      </c>
    </row>
    <row r="485" spans="1:22">
      <c r="A485" s="33" t="s">
        <v>132</v>
      </c>
      <c r="B485" s="37" t="s">
        <v>65</v>
      </c>
      <c r="C485" s="37" t="s">
        <v>21</v>
      </c>
      <c r="D485" s="35">
        <v>64</v>
      </c>
      <c r="E485" s="35">
        <v>30000</v>
      </c>
      <c r="F485" s="35">
        <v>47</v>
      </c>
      <c r="G485" s="37">
        <v>3</v>
      </c>
      <c r="H485" s="33" t="s">
        <v>199</v>
      </c>
      <c r="I485" s="33">
        <v>4</v>
      </c>
      <c r="J485" s="33">
        <v>3</v>
      </c>
      <c r="K485" s="33" t="s">
        <v>276</v>
      </c>
      <c r="L485" s="33" t="s">
        <v>158</v>
      </c>
      <c r="M485" s="48" t="s">
        <v>238</v>
      </c>
      <c r="N485" s="35">
        <v>0</v>
      </c>
      <c r="O485" s="51">
        <v>1.0960000000000036</v>
      </c>
      <c r="P485" s="51">
        <v>1.0960000000000036</v>
      </c>
      <c r="Q485" s="64">
        <v>1</v>
      </c>
      <c r="R485" s="76">
        <v>2.7812387755102042</v>
      </c>
      <c r="S485" s="76">
        <v>2.7812387755102042</v>
      </c>
      <c r="T485" s="66">
        <v>3.0396103611820502</v>
      </c>
      <c r="U485" s="67">
        <f t="shared" si="24"/>
        <v>2.9104245683461274</v>
      </c>
      <c r="V485" s="66">
        <v>3.0155364492500869</v>
      </c>
    </row>
    <row r="486" spans="1:22">
      <c r="A486" s="33" t="s">
        <v>132</v>
      </c>
      <c r="B486" s="37" t="s">
        <v>65</v>
      </c>
      <c r="C486" s="37" t="s">
        <v>21</v>
      </c>
      <c r="D486" s="35">
        <v>64</v>
      </c>
      <c r="E486" s="35">
        <v>30000</v>
      </c>
      <c r="F486" s="35">
        <v>47</v>
      </c>
      <c r="G486" s="37">
        <v>3</v>
      </c>
      <c r="H486" s="33" t="s">
        <v>199</v>
      </c>
      <c r="I486" s="33">
        <v>5</v>
      </c>
      <c r="J486" s="33">
        <v>4</v>
      </c>
      <c r="K486" s="33" t="s">
        <v>275</v>
      </c>
      <c r="L486" s="33" t="s">
        <v>155</v>
      </c>
      <c r="M486" s="48" t="s">
        <v>238</v>
      </c>
      <c r="N486" s="35">
        <v>0</v>
      </c>
      <c r="O486" s="51">
        <v>3.1200000000000045</v>
      </c>
      <c r="P486" s="51">
        <v>3.1200000000000045</v>
      </c>
      <c r="Q486" s="64">
        <v>1</v>
      </c>
      <c r="R486" s="76">
        <v>2.8241055276381908</v>
      </c>
      <c r="S486" s="76">
        <v>2.8241055276381908</v>
      </c>
      <c r="T486" s="66">
        <v>2.9861091510474091</v>
      </c>
      <c r="U486" s="67">
        <f t="shared" si="24"/>
        <v>2.9051073393428002</v>
      </c>
      <c r="V486" s="66">
        <v>2.9722657563025212</v>
      </c>
    </row>
    <row r="487" spans="1:22">
      <c r="A487" s="33" t="s">
        <v>132</v>
      </c>
      <c r="B487" s="37" t="s">
        <v>65</v>
      </c>
      <c r="C487" s="37" t="s">
        <v>21</v>
      </c>
      <c r="D487" s="35">
        <v>64</v>
      </c>
      <c r="E487" s="35">
        <v>30000</v>
      </c>
      <c r="F487" s="35">
        <v>47</v>
      </c>
      <c r="G487" s="37">
        <v>3</v>
      </c>
      <c r="H487" s="33" t="s">
        <v>199</v>
      </c>
      <c r="I487" s="33">
        <v>6</v>
      </c>
      <c r="J487" s="33">
        <v>5</v>
      </c>
      <c r="K487" s="33" t="s">
        <v>275</v>
      </c>
      <c r="L487" s="33" t="s">
        <v>154</v>
      </c>
      <c r="M487" s="48" t="s">
        <v>238</v>
      </c>
      <c r="N487" s="35">
        <v>0</v>
      </c>
      <c r="O487" s="51">
        <v>9.0510000000001583</v>
      </c>
      <c r="P487" s="51">
        <v>9.0510000000001583</v>
      </c>
      <c r="Q487" s="64">
        <v>1</v>
      </c>
      <c r="R487" s="76">
        <v>2.7773205417607221</v>
      </c>
      <c r="S487" s="76">
        <v>2.7773205417607221</v>
      </c>
      <c r="T487" s="66">
        <v>2.992469140206921</v>
      </c>
      <c r="U487" s="67">
        <f t="shared" si="24"/>
        <v>2.8848948409838213</v>
      </c>
      <c r="V487" s="66">
        <v>2.9728667814113598</v>
      </c>
    </row>
    <row r="488" spans="1:22">
      <c r="A488" s="32" t="s">
        <v>131</v>
      </c>
      <c r="B488" s="35" t="s">
        <v>65</v>
      </c>
      <c r="C488" s="35" t="s">
        <v>22</v>
      </c>
      <c r="D488" s="57">
        <v>30</v>
      </c>
      <c r="E488" s="35">
        <v>10000</v>
      </c>
      <c r="F488" s="35">
        <v>12</v>
      </c>
      <c r="G488" s="35">
        <v>1</v>
      </c>
      <c r="H488" s="32" t="s">
        <v>197</v>
      </c>
      <c r="I488" s="32">
        <v>1</v>
      </c>
      <c r="J488" s="32">
        <v>1</v>
      </c>
      <c r="K488" s="32" t="s">
        <v>275</v>
      </c>
      <c r="L488" s="32" t="s">
        <v>154</v>
      </c>
      <c r="M488" s="42" t="s">
        <v>363</v>
      </c>
      <c r="N488" s="35">
        <v>9.4000000000000004E-3</v>
      </c>
      <c r="O488" s="51">
        <v>9.400999999999982</v>
      </c>
      <c r="P488" s="51">
        <v>9.400999999999982</v>
      </c>
      <c r="Q488" s="64">
        <v>1</v>
      </c>
      <c r="R488" s="76">
        <v>3.194088378566458</v>
      </c>
      <c r="S488" s="76">
        <v>3.194088378566458</v>
      </c>
      <c r="T488" s="66">
        <v>3.2116692579505299</v>
      </c>
      <c r="U488" s="67">
        <f t="shared" si="24"/>
        <v>3.202878818258494</v>
      </c>
      <c r="V488" s="66">
        <v>3.2247804144385031</v>
      </c>
    </row>
    <row r="489" spans="1:22">
      <c r="A489" s="32" t="s">
        <v>131</v>
      </c>
      <c r="B489" s="35" t="s">
        <v>65</v>
      </c>
      <c r="C489" s="35" t="s">
        <v>22</v>
      </c>
      <c r="D489" s="57">
        <v>30</v>
      </c>
      <c r="E489" s="35">
        <v>10000</v>
      </c>
      <c r="F489" s="35">
        <v>12</v>
      </c>
      <c r="G489" s="35">
        <v>1</v>
      </c>
      <c r="H489" s="32" t="s">
        <v>197</v>
      </c>
      <c r="I489" s="32">
        <v>2</v>
      </c>
      <c r="J489" s="32">
        <v>2</v>
      </c>
      <c r="K489" s="32" t="s">
        <v>276</v>
      </c>
      <c r="L489" s="32" t="s">
        <v>155</v>
      </c>
      <c r="M489" s="42" t="s">
        <v>363</v>
      </c>
      <c r="N489" s="35">
        <v>0</v>
      </c>
      <c r="O489" s="51">
        <v>3.8709999999999809</v>
      </c>
      <c r="P489" s="51">
        <v>3.8709999999999809</v>
      </c>
      <c r="Q489" s="64">
        <v>1</v>
      </c>
      <c r="R489" s="76">
        <v>3.2453494550408721</v>
      </c>
      <c r="S489" s="76">
        <v>3.2453494550408721</v>
      </c>
      <c r="T489" s="66">
        <v>3.2273871642832228</v>
      </c>
      <c r="U489" s="67">
        <f t="shared" si="24"/>
        <v>3.2363683096620477</v>
      </c>
      <c r="V489" s="66">
        <v>3.242071331981069</v>
      </c>
    </row>
    <row r="490" spans="1:22">
      <c r="A490" s="32" t="s">
        <v>131</v>
      </c>
      <c r="B490" s="35" t="s">
        <v>65</v>
      </c>
      <c r="C490" s="35" t="s">
        <v>22</v>
      </c>
      <c r="D490" s="57">
        <v>30</v>
      </c>
      <c r="E490" s="35">
        <v>10000</v>
      </c>
      <c r="F490" s="35">
        <v>12</v>
      </c>
      <c r="G490" s="35">
        <v>1</v>
      </c>
      <c r="H490" s="32" t="s">
        <v>197</v>
      </c>
      <c r="I490" s="32">
        <v>3</v>
      </c>
      <c r="J490" s="32">
        <v>3</v>
      </c>
      <c r="K490" s="32" t="s">
        <v>275</v>
      </c>
      <c r="L490" s="32" t="s">
        <v>158</v>
      </c>
      <c r="M490" s="42" t="s">
        <v>363</v>
      </c>
      <c r="N490" s="35">
        <v>4.3E-3</v>
      </c>
      <c r="O490" s="51">
        <v>4.9139999999999873</v>
      </c>
      <c r="P490" s="51">
        <v>4.9139999999999873</v>
      </c>
      <c r="Q490" s="64">
        <v>1</v>
      </c>
      <c r="R490" s="76">
        <v>3.253860159224645</v>
      </c>
      <c r="S490" s="76">
        <v>3.253860159224645</v>
      </c>
      <c r="T490" s="66">
        <v>3.247578075431794</v>
      </c>
      <c r="U490" s="67">
        <f t="shared" si="24"/>
        <v>3.2507191173282193</v>
      </c>
      <c r="V490" s="66">
        <v>3.2635661715057398</v>
      </c>
    </row>
    <row r="491" spans="1:22">
      <c r="A491" s="32" t="s">
        <v>131</v>
      </c>
      <c r="B491" s="35" t="s">
        <v>65</v>
      </c>
      <c r="C491" s="35" t="s">
        <v>22</v>
      </c>
      <c r="D491" s="57">
        <v>30</v>
      </c>
      <c r="E491" s="35">
        <v>10000</v>
      </c>
      <c r="F491" s="35">
        <v>12</v>
      </c>
      <c r="G491" s="35">
        <v>1</v>
      </c>
      <c r="H491" s="32" t="s">
        <v>197</v>
      </c>
      <c r="I491" s="32">
        <v>4</v>
      </c>
      <c r="J491" s="32">
        <v>4</v>
      </c>
      <c r="K491" s="32" t="s">
        <v>276</v>
      </c>
      <c r="L491" s="32" t="s">
        <v>157</v>
      </c>
      <c r="M491" s="42" t="s">
        <v>363</v>
      </c>
      <c r="N491" s="35">
        <v>1.1999999999999999E-3</v>
      </c>
      <c r="O491" s="51">
        <v>4.8519999999999754</v>
      </c>
      <c r="P491" s="51">
        <v>4.8519999999999754</v>
      </c>
      <c r="Q491" s="64">
        <v>1</v>
      </c>
      <c r="R491" s="76">
        <v>3.43432602739726</v>
      </c>
      <c r="S491" s="76">
        <v>3.43432602739726</v>
      </c>
      <c r="T491" s="66">
        <v>3.4535242089210829</v>
      </c>
      <c r="U491" s="67">
        <f t="shared" si="24"/>
        <v>3.4439251181591715</v>
      </c>
      <c r="V491" s="66">
        <v>3.452891694109038</v>
      </c>
    </row>
    <row r="492" spans="1:22">
      <c r="A492" s="32" t="s">
        <v>131</v>
      </c>
      <c r="B492" s="35" t="s">
        <v>65</v>
      </c>
      <c r="C492" s="35" t="s">
        <v>22</v>
      </c>
      <c r="D492" s="57">
        <v>30</v>
      </c>
      <c r="E492" s="35">
        <v>10000</v>
      </c>
      <c r="F492" s="35">
        <v>12</v>
      </c>
      <c r="G492" s="35">
        <v>1</v>
      </c>
      <c r="H492" s="32" t="s">
        <v>197</v>
      </c>
      <c r="I492" s="32">
        <v>5</v>
      </c>
      <c r="K492" s="32" t="s">
        <v>276</v>
      </c>
      <c r="L492" s="32" t="s">
        <v>156</v>
      </c>
      <c r="M492" s="42" t="s">
        <v>363</v>
      </c>
      <c r="N492" s="35"/>
      <c r="O492" s="51"/>
      <c r="P492" s="51"/>
      <c r="Q492" s="64"/>
      <c r="R492" s="76">
        <v>4.5199999999999996</v>
      </c>
      <c r="S492" s="76">
        <v>4.5199999999999996</v>
      </c>
      <c r="T492" s="66">
        <v>4.9020000000000001</v>
      </c>
      <c r="U492" s="67">
        <f t="shared" si="24"/>
        <v>4.7110000000000003</v>
      </c>
      <c r="V492" s="66">
        <v>4.7110000000000003</v>
      </c>
    </row>
    <row r="493" spans="1:22">
      <c r="A493" s="32" t="s">
        <v>131</v>
      </c>
      <c r="B493" s="35" t="s">
        <v>65</v>
      </c>
      <c r="C493" s="35" t="s">
        <v>22</v>
      </c>
      <c r="D493" s="57">
        <v>30</v>
      </c>
      <c r="E493" s="35">
        <v>10000</v>
      </c>
      <c r="F493" s="35">
        <v>12</v>
      </c>
      <c r="G493" s="35">
        <v>1</v>
      </c>
      <c r="H493" s="32" t="s">
        <v>197</v>
      </c>
      <c r="I493" s="32">
        <v>6</v>
      </c>
      <c r="J493" s="32">
        <v>5</v>
      </c>
      <c r="K493" s="32" t="s">
        <v>275</v>
      </c>
      <c r="L493" s="32" t="s">
        <v>153</v>
      </c>
      <c r="M493" s="42" t="s">
        <v>363</v>
      </c>
      <c r="N493" s="35">
        <v>4.6899999999999997E-2</v>
      </c>
      <c r="O493" s="51">
        <v>9</v>
      </c>
      <c r="P493" s="51">
        <v>9</v>
      </c>
      <c r="Q493" s="64">
        <v>1</v>
      </c>
      <c r="R493" s="76">
        <v>3.2837227903579258</v>
      </c>
      <c r="S493" s="76">
        <v>3.2837227903579258</v>
      </c>
      <c r="T493" s="66">
        <v>3.2835694495078389</v>
      </c>
      <c r="U493" s="67">
        <f t="shared" si="24"/>
        <v>3.2836461199328824</v>
      </c>
      <c r="V493" s="66">
        <v>3.3026928351045588</v>
      </c>
    </row>
    <row r="494" spans="1:22">
      <c r="A494" s="32" t="s">
        <v>131</v>
      </c>
      <c r="B494" s="35" t="s">
        <v>65</v>
      </c>
      <c r="C494" s="35" t="s">
        <v>21</v>
      </c>
      <c r="D494" s="57">
        <v>30</v>
      </c>
      <c r="E494" s="35">
        <v>10000</v>
      </c>
      <c r="F494" s="35">
        <v>12</v>
      </c>
      <c r="G494" s="35">
        <v>2</v>
      </c>
      <c r="H494" s="32" t="s">
        <v>194</v>
      </c>
      <c r="I494" s="32">
        <v>1</v>
      </c>
      <c r="J494" s="32">
        <v>1</v>
      </c>
      <c r="K494" s="32" t="s">
        <v>275</v>
      </c>
      <c r="L494" s="32" t="s">
        <v>153</v>
      </c>
      <c r="M494" s="42" t="s">
        <v>364</v>
      </c>
      <c r="N494" s="35">
        <v>1.4E-3</v>
      </c>
      <c r="O494" s="51">
        <v>10.009999999999991</v>
      </c>
      <c r="P494" s="51">
        <v>10.009999999999991</v>
      </c>
      <c r="Q494" s="64">
        <v>1</v>
      </c>
      <c r="R494" s="76">
        <v>3.2263777089783279</v>
      </c>
      <c r="S494" s="76">
        <v>3.2263777089783279</v>
      </c>
      <c r="T494" s="66">
        <v>3.2454400715563509</v>
      </c>
      <c r="U494" s="67">
        <f t="shared" si="24"/>
        <v>3.2359088902673392</v>
      </c>
      <c r="V494" s="66">
        <v>3.246039189189188</v>
      </c>
    </row>
    <row r="495" spans="1:22">
      <c r="A495" s="32" t="s">
        <v>131</v>
      </c>
      <c r="B495" s="35" t="s">
        <v>65</v>
      </c>
      <c r="C495" s="35" t="s">
        <v>21</v>
      </c>
      <c r="D495" s="57">
        <v>30</v>
      </c>
      <c r="E495" s="35">
        <v>10000</v>
      </c>
      <c r="F495" s="35">
        <v>12</v>
      </c>
      <c r="G495" s="35">
        <v>2</v>
      </c>
      <c r="H495" s="32" t="s">
        <v>194</v>
      </c>
      <c r="I495" s="32">
        <v>2</v>
      </c>
      <c r="J495" s="32">
        <v>2</v>
      </c>
      <c r="K495" s="32" t="s">
        <v>276</v>
      </c>
      <c r="L495" s="32" t="s">
        <v>154</v>
      </c>
      <c r="M495" s="42" t="s">
        <v>364</v>
      </c>
      <c r="N495" s="35">
        <v>2.5999999999999999E-3</v>
      </c>
      <c r="O495" s="51">
        <v>3.7789999999999964</v>
      </c>
      <c r="P495" s="51">
        <v>3.7789999999999964</v>
      </c>
      <c r="Q495" s="64">
        <v>1</v>
      </c>
      <c r="R495" s="76">
        <v>3.346761650658129</v>
      </c>
      <c r="S495" s="76">
        <v>3.346761650658129</v>
      </c>
      <c r="T495" s="66">
        <v>3.3169661458333342</v>
      </c>
      <c r="U495" s="67">
        <f t="shared" si="24"/>
        <v>3.3318638982457314</v>
      </c>
      <c r="V495" s="66">
        <v>3.3592339622641512</v>
      </c>
    </row>
    <row r="496" spans="1:22">
      <c r="A496" s="32" t="s">
        <v>131</v>
      </c>
      <c r="B496" s="35" t="s">
        <v>65</v>
      </c>
      <c r="C496" s="35" t="s">
        <v>21</v>
      </c>
      <c r="D496" s="57">
        <v>30</v>
      </c>
      <c r="E496" s="35">
        <v>10000</v>
      </c>
      <c r="F496" s="35">
        <v>12</v>
      </c>
      <c r="G496" s="35">
        <v>2</v>
      </c>
      <c r="H496" s="32" t="s">
        <v>194</v>
      </c>
      <c r="I496" s="32">
        <v>3</v>
      </c>
      <c r="J496" s="32">
        <v>3</v>
      </c>
      <c r="K496" s="32" t="s">
        <v>276</v>
      </c>
      <c r="L496" s="32" t="s">
        <v>155</v>
      </c>
      <c r="M496" s="42" t="s">
        <v>207</v>
      </c>
      <c r="N496" s="35">
        <v>7.1000000000000004E-3</v>
      </c>
      <c r="O496" s="51">
        <v>4.9189999999999827</v>
      </c>
      <c r="P496" s="51">
        <v>4.9189999999999827</v>
      </c>
      <c r="Q496" s="64">
        <v>1</v>
      </c>
      <c r="R496" s="76">
        <v>3.4587140172867352</v>
      </c>
      <c r="S496" s="76">
        <v>3.4587140172867352</v>
      </c>
      <c r="T496" s="66">
        <v>3.4614723088923558</v>
      </c>
      <c r="U496" s="67">
        <f t="shared" si="24"/>
        <v>3.4600931630895455</v>
      </c>
      <c r="V496" s="66">
        <v>3.4766946870451232</v>
      </c>
    </row>
    <row r="497" spans="1:22">
      <c r="A497" s="32" t="s">
        <v>131</v>
      </c>
      <c r="B497" s="35" t="s">
        <v>65</v>
      </c>
      <c r="C497" s="35" t="s">
        <v>21</v>
      </c>
      <c r="D497" s="57">
        <v>30</v>
      </c>
      <c r="E497" s="35">
        <v>10000</v>
      </c>
      <c r="F497" s="35">
        <v>12</v>
      </c>
      <c r="G497" s="35">
        <v>2</v>
      </c>
      <c r="H497" s="32" t="s">
        <v>194</v>
      </c>
      <c r="I497" s="32">
        <v>4</v>
      </c>
      <c r="K497" s="32" t="s">
        <v>275</v>
      </c>
      <c r="L497" s="32" t="s">
        <v>156</v>
      </c>
      <c r="M497" s="42" t="s">
        <v>207</v>
      </c>
      <c r="N497" s="35"/>
      <c r="O497" s="51"/>
      <c r="P497" s="51"/>
      <c r="Q497" s="64"/>
      <c r="R497" s="76">
        <v>4.1159999999999997</v>
      </c>
      <c r="S497" s="76">
        <v>4.1159999999999997</v>
      </c>
      <c r="T497" s="66">
        <v>4.1349999999999998</v>
      </c>
      <c r="U497" s="67">
        <f t="shared" si="24"/>
        <v>4.1254999999999997</v>
      </c>
      <c r="V497" s="66">
        <v>4.125</v>
      </c>
    </row>
    <row r="498" spans="1:22">
      <c r="A498" s="32" t="s">
        <v>131</v>
      </c>
      <c r="B498" s="35" t="s">
        <v>65</v>
      </c>
      <c r="C498" s="35" t="s">
        <v>21</v>
      </c>
      <c r="D498" s="57">
        <v>30</v>
      </c>
      <c r="E498" s="35">
        <v>10000</v>
      </c>
      <c r="F498" s="35">
        <v>12</v>
      </c>
      <c r="G498" s="35">
        <v>2</v>
      </c>
      <c r="H498" s="32" t="s">
        <v>194</v>
      </c>
      <c r="I498" s="32">
        <v>5</v>
      </c>
      <c r="J498" s="32">
        <v>4</v>
      </c>
      <c r="K498" s="32" t="s">
        <v>276</v>
      </c>
      <c r="L498" s="32" t="s">
        <v>157</v>
      </c>
      <c r="M498" s="42" t="s">
        <v>207</v>
      </c>
      <c r="N498" s="35">
        <v>0</v>
      </c>
      <c r="O498" s="51">
        <v>9.8410000000001219</v>
      </c>
      <c r="P498" s="51">
        <v>9.8410000000001219</v>
      </c>
      <c r="Q498" s="64">
        <v>1</v>
      </c>
      <c r="R498" s="76">
        <v>3.288757068452381</v>
      </c>
      <c r="S498" s="76">
        <v>3.288757068452381</v>
      </c>
      <c r="T498" s="66">
        <v>3.2809468044393419</v>
      </c>
      <c r="U498" s="67">
        <f t="shared" si="24"/>
        <v>3.2848519364458615</v>
      </c>
      <c r="V498" s="66">
        <v>3.2991162112932608</v>
      </c>
    </row>
    <row r="499" spans="1:22">
      <c r="A499" s="32" t="s">
        <v>131</v>
      </c>
      <c r="B499" s="35" t="s">
        <v>65</v>
      </c>
      <c r="C499" s="35" t="s">
        <v>21</v>
      </c>
      <c r="D499" s="57">
        <v>30</v>
      </c>
      <c r="E499" s="35">
        <v>10000</v>
      </c>
      <c r="F499" s="35">
        <v>12</v>
      </c>
      <c r="G499" s="35">
        <v>2</v>
      </c>
      <c r="H499" s="32" t="s">
        <v>194</v>
      </c>
      <c r="I499" s="32">
        <v>6</v>
      </c>
      <c r="J499" s="32">
        <v>5</v>
      </c>
      <c r="K499" s="32" t="s">
        <v>275</v>
      </c>
      <c r="L499" s="32" t="s">
        <v>158</v>
      </c>
      <c r="M499" s="42" t="s">
        <v>207</v>
      </c>
      <c r="N499" s="35">
        <v>7.4700000000000003E-2</v>
      </c>
      <c r="O499" s="51">
        <v>3.2999999999999545</v>
      </c>
      <c r="P499" s="51">
        <v>3.2999999999999545</v>
      </c>
      <c r="Q499" s="64">
        <v>1</v>
      </c>
      <c r="R499" s="76">
        <v>3.5294256895841909</v>
      </c>
      <c r="S499" s="76">
        <v>3.5294256895841909</v>
      </c>
      <c r="T499" s="66">
        <v>3.5175727529222081</v>
      </c>
      <c r="U499" s="67">
        <f t="shared" si="24"/>
        <v>3.5234992212531995</v>
      </c>
      <c r="V499" s="66">
        <v>3.5401574626865671</v>
      </c>
    </row>
    <row r="500" spans="1:22">
      <c r="A500" s="32" t="s">
        <v>131</v>
      </c>
      <c r="B500" s="35" t="s">
        <v>65</v>
      </c>
      <c r="C500" s="35" t="s">
        <v>14</v>
      </c>
      <c r="D500" s="57">
        <v>30</v>
      </c>
      <c r="E500" s="35">
        <v>10000</v>
      </c>
      <c r="F500" s="35">
        <v>12</v>
      </c>
      <c r="G500" s="35">
        <v>3</v>
      </c>
      <c r="H500" s="32" t="s">
        <v>199</v>
      </c>
      <c r="I500" s="32">
        <v>1</v>
      </c>
      <c r="K500" s="32" t="s">
        <v>276</v>
      </c>
      <c r="L500" s="32" t="s">
        <v>156</v>
      </c>
      <c r="M500" s="42" t="s">
        <v>365</v>
      </c>
      <c r="N500" s="35"/>
      <c r="O500" s="51"/>
      <c r="P500" s="51"/>
      <c r="Q500" s="64"/>
      <c r="R500" s="76">
        <v>4.2450000000000001</v>
      </c>
      <c r="S500" s="76">
        <v>4.2450000000000001</v>
      </c>
      <c r="T500" s="66">
        <v>4.2930000000000001</v>
      </c>
      <c r="U500" s="67">
        <f t="shared" si="24"/>
        <v>4.2690000000000001</v>
      </c>
      <c r="V500" s="66">
        <v>4.2690000000000001</v>
      </c>
    </row>
    <row r="501" spans="1:22">
      <c r="A501" s="32" t="s">
        <v>131</v>
      </c>
      <c r="B501" s="35" t="s">
        <v>65</v>
      </c>
      <c r="C501" s="35" t="s">
        <v>14</v>
      </c>
      <c r="D501" s="57">
        <v>30</v>
      </c>
      <c r="E501" s="35">
        <v>10000</v>
      </c>
      <c r="F501" s="35">
        <v>12</v>
      </c>
      <c r="G501" s="35">
        <v>3</v>
      </c>
      <c r="H501" s="32" t="s">
        <v>199</v>
      </c>
      <c r="I501" s="32">
        <v>2</v>
      </c>
      <c r="J501" s="32">
        <v>1</v>
      </c>
      <c r="K501" s="32" t="s">
        <v>275</v>
      </c>
      <c r="L501" s="32" t="s">
        <v>157</v>
      </c>
      <c r="M501" s="42" t="s">
        <v>365</v>
      </c>
      <c r="N501" s="35">
        <v>0</v>
      </c>
      <c r="O501" s="51">
        <v>2.9200000000000159</v>
      </c>
      <c r="P501" s="51">
        <v>2.9200000000000159</v>
      </c>
      <c r="Q501" s="64">
        <v>1</v>
      </c>
      <c r="R501" s="76">
        <v>3.287494915254237</v>
      </c>
      <c r="S501" s="76">
        <v>3.287494915254237</v>
      </c>
      <c r="T501" s="66">
        <v>3.3061022765885149</v>
      </c>
      <c r="U501" s="67">
        <f t="shared" si="24"/>
        <v>3.2967985959213761</v>
      </c>
      <c r="V501" s="66">
        <v>3.2968957361758831</v>
      </c>
    </row>
    <row r="502" spans="1:22">
      <c r="A502" s="32" t="s">
        <v>131</v>
      </c>
      <c r="B502" s="35" t="s">
        <v>65</v>
      </c>
      <c r="C502" s="35" t="s">
        <v>14</v>
      </c>
      <c r="D502" s="57">
        <v>30</v>
      </c>
      <c r="E502" s="35">
        <v>10000</v>
      </c>
      <c r="F502" s="35">
        <v>12</v>
      </c>
      <c r="G502" s="35">
        <v>3</v>
      </c>
      <c r="H502" s="32" t="s">
        <v>199</v>
      </c>
      <c r="I502" s="32">
        <v>3</v>
      </c>
      <c r="J502" s="32">
        <v>2</v>
      </c>
      <c r="K502" s="32" t="s">
        <v>276</v>
      </c>
      <c r="L502" s="32" t="s">
        <v>153</v>
      </c>
      <c r="M502" s="42" t="s">
        <v>253</v>
      </c>
      <c r="N502" s="35">
        <v>1.1000000000000001E-3</v>
      </c>
      <c r="O502" s="51">
        <v>10.759999999999991</v>
      </c>
      <c r="P502" s="51">
        <v>10.759999999999991</v>
      </c>
      <c r="Q502" s="64">
        <v>1</v>
      </c>
      <c r="R502" s="76">
        <v>3.3433962332488232</v>
      </c>
      <c r="S502" s="76">
        <v>3.3433962332488232</v>
      </c>
      <c r="T502" s="66">
        <v>3.393659512550018</v>
      </c>
      <c r="U502" s="67">
        <f t="shared" si="24"/>
        <v>3.3685278728994206</v>
      </c>
      <c r="V502" s="66">
        <v>3.3718722436121809</v>
      </c>
    </row>
    <row r="503" spans="1:22">
      <c r="A503" s="32" t="s">
        <v>131</v>
      </c>
      <c r="B503" s="35" t="s">
        <v>65</v>
      </c>
      <c r="C503" s="35" t="s">
        <v>14</v>
      </c>
      <c r="D503" s="57">
        <v>30</v>
      </c>
      <c r="E503" s="35">
        <v>10000</v>
      </c>
      <c r="F503" s="35">
        <v>12</v>
      </c>
      <c r="G503" s="35">
        <v>3</v>
      </c>
      <c r="H503" s="32" t="s">
        <v>199</v>
      </c>
      <c r="I503" s="32">
        <v>4</v>
      </c>
      <c r="J503" s="32">
        <v>3</v>
      </c>
      <c r="K503" s="32" t="s">
        <v>276</v>
      </c>
      <c r="L503" s="32" t="s">
        <v>158</v>
      </c>
      <c r="M503" s="42" t="s">
        <v>253</v>
      </c>
      <c r="N503" s="35">
        <v>0.13150000000000001</v>
      </c>
      <c r="O503" s="51">
        <v>5.7599999999999909</v>
      </c>
      <c r="P503" s="51">
        <v>5.7599999999999909</v>
      </c>
      <c r="Q503" s="64">
        <v>1</v>
      </c>
      <c r="R503" s="76">
        <v>3.279083873290138</v>
      </c>
      <c r="S503" s="76">
        <v>3.279083873290138</v>
      </c>
      <c r="T503" s="66">
        <v>3.2775967450271248</v>
      </c>
      <c r="U503" s="67">
        <f t="shared" si="24"/>
        <v>3.2783403091586312</v>
      </c>
      <c r="V503" s="66">
        <v>3.2856609056342889</v>
      </c>
    </row>
    <row r="504" spans="1:22">
      <c r="A504" s="32" t="s">
        <v>131</v>
      </c>
      <c r="B504" s="35" t="s">
        <v>65</v>
      </c>
      <c r="C504" s="35" t="s">
        <v>14</v>
      </c>
      <c r="D504" s="57">
        <v>30</v>
      </c>
      <c r="E504" s="35">
        <v>10000</v>
      </c>
      <c r="F504" s="35">
        <v>12</v>
      </c>
      <c r="G504" s="35">
        <v>3</v>
      </c>
      <c r="H504" s="32" t="s">
        <v>199</v>
      </c>
      <c r="I504" s="32">
        <v>5</v>
      </c>
      <c r="J504" s="32">
        <v>4</v>
      </c>
      <c r="K504" s="32" t="s">
        <v>275</v>
      </c>
      <c r="L504" s="32" t="s">
        <v>155</v>
      </c>
      <c r="M504" s="42" t="s">
        <v>253</v>
      </c>
      <c r="N504" s="35">
        <v>0</v>
      </c>
      <c r="O504" s="51">
        <v>4.6699999999999591</v>
      </c>
      <c r="P504" s="51">
        <v>4.6699999999999591</v>
      </c>
      <c r="Q504" s="64">
        <v>1</v>
      </c>
      <c r="R504" s="76">
        <v>3.3054615924237112</v>
      </c>
      <c r="S504" s="76">
        <v>3.3054615924237112</v>
      </c>
      <c r="T504" s="66">
        <v>3.3437102026049201</v>
      </c>
      <c r="U504" s="67">
        <f t="shared" si="24"/>
        <v>3.3245858975143157</v>
      </c>
      <c r="V504" s="66">
        <v>3.332486878453039</v>
      </c>
    </row>
    <row r="505" spans="1:22">
      <c r="A505" s="32" t="s">
        <v>131</v>
      </c>
      <c r="B505" s="35" t="s">
        <v>65</v>
      </c>
      <c r="C505" s="35" t="s">
        <v>14</v>
      </c>
      <c r="D505" s="57">
        <v>30</v>
      </c>
      <c r="E505" s="35">
        <v>10000</v>
      </c>
      <c r="F505" s="35">
        <v>12</v>
      </c>
      <c r="G505" s="35">
        <v>3</v>
      </c>
      <c r="H505" s="32" t="s">
        <v>199</v>
      </c>
      <c r="I505" s="32">
        <v>6</v>
      </c>
      <c r="J505" s="32">
        <v>5</v>
      </c>
      <c r="K505" s="32" t="s">
        <v>275</v>
      </c>
      <c r="L505" s="32" t="s">
        <v>154</v>
      </c>
      <c r="M505" s="42" t="s">
        <v>253</v>
      </c>
      <c r="N505" s="35">
        <v>0</v>
      </c>
      <c r="O505" s="51">
        <v>4.8020000000001346</v>
      </c>
      <c r="P505" s="51">
        <v>4.8020000000001346</v>
      </c>
      <c r="Q505" s="64">
        <v>1</v>
      </c>
      <c r="R505" s="76">
        <v>3.4153745401030169</v>
      </c>
      <c r="S505" s="76">
        <v>3.4153745401030169</v>
      </c>
      <c r="T505" s="66">
        <v>3.4593758709204261</v>
      </c>
      <c r="U505" s="67">
        <f t="shared" si="24"/>
        <v>3.4373752055117217</v>
      </c>
      <c r="V505" s="66">
        <v>3.447554615926709</v>
      </c>
    </row>
    <row r="506" spans="1:22">
      <c r="A506" s="33" t="s">
        <v>114</v>
      </c>
      <c r="B506" s="37" t="s">
        <v>65</v>
      </c>
      <c r="C506" s="37" t="s">
        <v>21</v>
      </c>
      <c r="D506" s="57">
        <v>60</v>
      </c>
      <c r="E506" s="35">
        <v>30000</v>
      </c>
      <c r="F506" s="35">
        <v>42</v>
      </c>
      <c r="G506" s="37">
        <v>1</v>
      </c>
      <c r="H506" s="33" t="s">
        <v>197</v>
      </c>
      <c r="I506" s="33">
        <v>1</v>
      </c>
      <c r="J506" s="33">
        <v>1</v>
      </c>
      <c r="K506" s="33" t="s">
        <v>275</v>
      </c>
      <c r="L506" s="33" t="s">
        <v>154</v>
      </c>
      <c r="M506" s="43" t="s">
        <v>366</v>
      </c>
      <c r="N506" s="35">
        <v>0.93559999999999999</v>
      </c>
      <c r="O506" s="51" t="s">
        <v>395</v>
      </c>
      <c r="P506" s="51"/>
      <c r="Q506" s="64">
        <v>0</v>
      </c>
      <c r="R506" s="76">
        <v>2.9099644599303129</v>
      </c>
      <c r="S506" s="76">
        <v>2.9099644599303129</v>
      </c>
      <c r="T506" s="66">
        <v>2.840637371035537</v>
      </c>
      <c r="U506" s="67">
        <f t="shared" si="24"/>
        <v>2.8753009154829252</v>
      </c>
      <c r="V506" s="66">
        <v>2.9030505693235091</v>
      </c>
    </row>
    <row r="507" spans="1:22">
      <c r="A507" s="33" t="s">
        <v>114</v>
      </c>
      <c r="B507" s="37" t="s">
        <v>65</v>
      </c>
      <c r="C507" s="37" t="s">
        <v>21</v>
      </c>
      <c r="D507" s="57">
        <v>60</v>
      </c>
      <c r="E507" s="35">
        <v>30000</v>
      </c>
      <c r="F507" s="35">
        <v>42</v>
      </c>
      <c r="G507" s="37">
        <v>1</v>
      </c>
      <c r="H507" s="33" t="s">
        <v>197</v>
      </c>
      <c r="I507" s="33">
        <v>2</v>
      </c>
      <c r="J507" s="33">
        <v>2</v>
      </c>
      <c r="K507" s="33" t="s">
        <v>276</v>
      </c>
      <c r="L507" s="33" t="s">
        <v>155</v>
      </c>
      <c r="M507" s="43" t="s">
        <v>366</v>
      </c>
      <c r="N507" s="35">
        <v>0.22789999999999999</v>
      </c>
      <c r="O507" s="51">
        <v>3.3250000000000455</v>
      </c>
      <c r="P507" s="51">
        <v>3.3250000000000455</v>
      </c>
      <c r="Q507" s="64">
        <v>1</v>
      </c>
      <c r="R507" s="76">
        <v>3.0283354380426202</v>
      </c>
      <c r="S507" s="76">
        <v>3.0283354380426202</v>
      </c>
      <c r="T507" s="66">
        <v>3.0014608165180658</v>
      </c>
      <c r="U507" s="67">
        <f t="shared" si="24"/>
        <v>3.0148981272803432</v>
      </c>
      <c r="V507" s="66">
        <v>3.0931541990119968</v>
      </c>
    </row>
    <row r="508" spans="1:22">
      <c r="A508" s="33" t="s">
        <v>114</v>
      </c>
      <c r="B508" s="37" t="s">
        <v>65</v>
      </c>
      <c r="C508" s="37" t="s">
        <v>21</v>
      </c>
      <c r="D508" s="57">
        <v>60</v>
      </c>
      <c r="E508" s="35">
        <v>30000</v>
      </c>
      <c r="F508" s="35">
        <v>42</v>
      </c>
      <c r="G508" s="37">
        <v>1</v>
      </c>
      <c r="H508" s="33" t="s">
        <v>197</v>
      </c>
      <c r="I508" s="33">
        <v>3</v>
      </c>
      <c r="J508" s="33">
        <v>3</v>
      </c>
      <c r="K508" s="33" t="s">
        <v>275</v>
      </c>
      <c r="L508" s="33" t="s">
        <v>158</v>
      </c>
      <c r="M508" s="43" t="s">
        <v>366</v>
      </c>
      <c r="N508" s="35">
        <v>0.43080000000000002</v>
      </c>
      <c r="O508" s="51">
        <v>2.75</v>
      </c>
      <c r="P508" s="51">
        <v>2.75</v>
      </c>
      <c r="Q508" s="64">
        <v>1</v>
      </c>
      <c r="R508" s="76">
        <v>3.0636127143454619</v>
      </c>
      <c r="S508" s="76">
        <v>3.0636127143454619</v>
      </c>
      <c r="T508" s="66">
        <v>2.9552465419039868</v>
      </c>
      <c r="U508" s="67">
        <f t="shared" si="24"/>
        <v>3.0094296281247246</v>
      </c>
      <c r="V508" s="66">
        <v>3.1171323054858369</v>
      </c>
    </row>
    <row r="509" spans="1:22">
      <c r="A509" s="33" t="s">
        <v>114</v>
      </c>
      <c r="B509" s="37" t="s">
        <v>65</v>
      </c>
      <c r="C509" s="37" t="s">
        <v>21</v>
      </c>
      <c r="D509" s="57">
        <v>60</v>
      </c>
      <c r="E509" s="35">
        <v>30000</v>
      </c>
      <c r="F509" s="35">
        <v>42</v>
      </c>
      <c r="G509" s="37">
        <v>1</v>
      </c>
      <c r="H509" s="33" t="s">
        <v>197</v>
      </c>
      <c r="I509" s="33">
        <v>4</v>
      </c>
      <c r="J509" s="33">
        <v>4</v>
      </c>
      <c r="K509" s="33" t="s">
        <v>276</v>
      </c>
      <c r="L509" s="33" t="s">
        <v>157</v>
      </c>
      <c r="M509" s="43" t="s">
        <v>366</v>
      </c>
      <c r="N509" s="35">
        <v>0.68510000000000004</v>
      </c>
      <c r="O509" s="51">
        <v>2.0149999999999864</v>
      </c>
      <c r="P509" s="51">
        <v>2.0149999999999864</v>
      </c>
      <c r="Q509" s="64">
        <v>1</v>
      </c>
      <c r="R509" s="76">
        <v>3.049015077605322</v>
      </c>
      <c r="S509" s="76">
        <v>3.049015077605322</v>
      </c>
      <c r="T509" s="66">
        <v>2.89218359375</v>
      </c>
      <c r="U509" s="67">
        <f t="shared" si="24"/>
        <v>2.9705993356776608</v>
      </c>
      <c r="V509" s="66">
        <v>3.0814897058823529</v>
      </c>
    </row>
    <row r="510" spans="1:22">
      <c r="A510" s="33" t="s">
        <v>114</v>
      </c>
      <c r="B510" s="37" t="s">
        <v>65</v>
      </c>
      <c r="C510" s="37" t="s">
        <v>21</v>
      </c>
      <c r="D510" s="57">
        <v>60</v>
      </c>
      <c r="E510" s="35">
        <v>30000</v>
      </c>
      <c r="F510" s="35">
        <v>42</v>
      </c>
      <c r="G510" s="37">
        <v>1</v>
      </c>
      <c r="H510" s="33" t="s">
        <v>197</v>
      </c>
      <c r="I510" s="33">
        <v>5</v>
      </c>
      <c r="J510" s="33"/>
      <c r="K510" s="33" t="s">
        <v>276</v>
      </c>
      <c r="L510" s="33" t="s">
        <v>156</v>
      </c>
      <c r="M510" s="43" t="s">
        <v>366</v>
      </c>
      <c r="N510" s="35">
        <v>0.92589999999999995</v>
      </c>
      <c r="O510" s="51"/>
      <c r="P510" s="51"/>
      <c r="Q510" s="64"/>
      <c r="R510" s="76">
        <v>2.8290143338954472</v>
      </c>
      <c r="S510" s="76">
        <v>2.8290143338954472</v>
      </c>
      <c r="T510" s="66">
        <v>2.7424076567101392</v>
      </c>
      <c r="U510" s="67">
        <f t="shared" si="24"/>
        <v>2.785710995302793</v>
      </c>
      <c r="V510" s="66">
        <v>2.8735413084112151</v>
      </c>
    </row>
    <row r="511" spans="1:22">
      <c r="A511" s="33" t="s">
        <v>114</v>
      </c>
      <c r="B511" s="37" t="s">
        <v>65</v>
      </c>
      <c r="C511" s="37" t="s">
        <v>21</v>
      </c>
      <c r="D511" s="57">
        <v>60</v>
      </c>
      <c r="E511" s="35">
        <v>30000</v>
      </c>
      <c r="F511" s="35">
        <v>42</v>
      </c>
      <c r="G511" s="37">
        <v>1</v>
      </c>
      <c r="H511" s="33" t="s">
        <v>197</v>
      </c>
      <c r="I511" s="33">
        <v>6</v>
      </c>
      <c r="J511" s="33">
        <v>5</v>
      </c>
      <c r="K511" s="33" t="s">
        <v>275</v>
      </c>
      <c r="L511" s="33" t="s">
        <v>153</v>
      </c>
      <c r="M511" s="43" t="s">
        <v>366</v>
      </c>
      <c r="N511" s="35">
        <v>0.80769999999999997</v>
      </c>
      <c r="O511" s="51">
        <v>12.557999999999993</v>
      </c>
      <c r="P511" s="51">
        <v>12.557999999999993</v>
      </c>
      <c r="Q511" s="64">
        <v>1</v>
      </c>
      <c r="R511" s="76">
        <v>2.8500689519306541</v>
      </c>
      <c r="S511" s="76">
        <v>2.8500689519306541</v>
      </c>
      <c r="T511" s="66">
        <v>2.78336292530309</v>
      </c>
      <c r="U511" s="67">
        <f t="shared" si="24"/>
        <v>2.8167159386168721</v>
      </c>
      <c r="V511" s="66">
        <v>2.896066427289048</v>
      </c>
    </row>
    <row r="512" spans="1:22">
      <c r="A512" s="33" t="s">
        <v>114</v>
      </c>
      <c r="B512" s="37" t="s">
        <v>65</v>
      </c>
      <c r="C512" s="37" t="s">
        <v>14</v>
      </c>
      <c r="D512" s="57">
        <v>60</v>
      </c>
      <c r="E512" s="35">
        <v>30000</v>
      </c>
      <c r="F512" s="35">
        <v>42</v>
      </c>
      <c r="G512" s="37">
        <v>2</v>
      </c>
      <c r="H512" s="33" t="s">
        <v>194</v>
      </c>
      <c r="I512" s="33">
        <v>1</v>
      </c>
      <c r="J512" s="33">
        <v>1</v>
      </c>
      <c r="K512" s="33" t="s">
        <v>275</v>
      </c>
      <c r="L512" s="33" t="s">
        <v>153</v>
      </c>
      <c r="M512" s="43" t="s">
        <v>367</v>
      </c>
      <c r="N512" s="35">
        <v>0</v>
      </c>
      <c r="O512" s="51">
        <v>12.610000000000014</v>
      </c>
      <c r="P512" s="51">
        <v>12.610000000000014</v>
      </c>
      <c r="Q512" s="64">
        <v>1</v>
      </c>
      <c r="R512" s="76">
        <v>2.9493582733812951</v>
      </c>
      <c r="S512" s="76">
        <v>2.9493582733812951</v>
      </c>
      <c r="T512" s="66">
        <v>2.8372034956304621</v>
      </c>
      <c r="U512" s="67">
        <f t="shared" si="24"/>
        <v>2.8932808845058786</v>
      </c>
      <c r="V512" s="66">
        <v>2.9095145172180961</v>
      </c>
    </row>
    <row r="513" spans="1:22">
      <c r="A513" s="33" t="s">
        <v>114</v>
      </c>
      <c r="B513" s="37" t="s">
        <v>65</v>
      </c>
      <c r="C513" s="37" t="s">
        <v>14</v>
      </c>
      <c r="D513" s="57">
        <v>60</v>
      </c>
      <c r="E513" s="35">
        <v>30000</v>
      </c>
      <c r="F513" s="35">
        <v>42</v>
      </c>
      <c r="G513" s="37">
        <v>2</v>
      </c>
      <c r="H513" s="33" t="s">
        <v>194</v>
      </c>
      <c r="I513" s="33">
        <v>2</v>
      </c>
      <c r="J513" s="33">
        <v>2</v>
      </c>
      <c r="K513" s="33" t="s">
        <v>276</v>
      </c>
      <c r="L513" s="33" t="s">
        <v>154</v>
      </c>
      <c r="M513" s="43" t="s">
        <v>367</v>
      </c>
      <c r="N513" s="35">
        <v>0</v>
      </c>
      <c r="O513" s="51" t="s">
        <v>395</v>
      </c>
      <c r="P513" s="51"/>
      <c r="Q513" s="64">
        <v>0</v>
      </c>
      <c r="R513" s="76">
        <v>2.923284202845676</v>
      </c>
      <c r="S513" s="76">
        <v>2.923284202845676</v>
      </c>
      <c r="T513" s="66">
        <v>2.832227970188514</v>
      </c>
      <c r="U513" s="67">
        <f t="shared" si="24"/>
        <v>2.877756086517095</v>
      </c>
      <c r="V513" s="66">
        <v>2.8886815395095371</v>
      </c>
    </row>
    <row r="514" spans="1:22">
      <c r="A514" s="33" t="s">
        <v>114</v>
      </c>
      <c r="B514" s="37" t="s">
        <v>65</v>
      </c>
      <c r="C514" s="37" t="s">
        <v>14</v>
      </c>
      <c r="D514" s="57">
        <v>60</v>
      </c>
      <c r="E514" s="35">
        <v>30000</v>
      </c>
      <c r="F514" s="35">
        <v>42</v>
      </c>
      <c r="G514" s="37">
        <v>2</v>
      </c>
      <c r="H514" s="33" t="s">
        <v>194</v>
      </c>
      <c r="I514" s="33">
        <v>3</v>
      </c>
      <c r="J514" s="33">
        <v>3</v>
      </c>
      <c r="K514" s="33" t="s">
        <v>276</v>
      </c>
      <c r="L514" s="33" t="s">
        <v>155</v>
      </c>
      <c r="M514" s="43" t="s">
        <v>259</v>
      </c>
      <c r="N514" s="35">
        <v>0</v>
      </c>
      <c r="O514" s="51">
        <v>1.17999999999995</v>
      </c>
      <c r="P514" s="51">
        <v>1.17999999999995</v>
      </c>
      <c r="Q514" s="64">
        <v>1</v>
      </c>
      <c r="R514" s="76">
        <v>3.0018267687819109</v>
      </c>
      <c r="S514" s="76">
        <v>3.0018267687819109</v>
      </c>
      <c r="T514" s="66">
        <v>2.8796255392579808</v>
      </c>
      <c r="U514" s="67">
        <f t="shared" si="24"/>
        <v>2.9407261540199459</v>
      </c>
      <c r="V514" s="66">
        <v>2.9482484012117132</v>
      </c>
    </row>
    <row r="515" spans="1:22">
      <c r="A515" s="33" t="s">
        <v>114</v>
      </c>
      <c r="B515" s="37" t="s">
        <v>65</v>
      </c>
      <c r="C515" s="37" t="s">
        <v>14</v>
      </c>
      <c r="D515" s="57">
        <v>60</v>
      </c>
      <c r="E515" s="35">
        <v>30000</v>
      </c>
      <c r="F515" s="35">
        <v>42</v>
      </c>
      <c r="G515" s="37">
        <v>2</v>
      </c>
      <c r="H515" s="33" t="s">
        <v>194</v>
      </c>
      <c r="I515" s="33">
        <v>4</v>
      </c>
      <c r="J515" s="33"/>
      <c r="K515" s="33" t="s">
        <v>275</v>
      </c>
      <c r="L515" s="33" t="s">
        <v>156</v>
      </c>
      <c r="M515" s="43" t="s">
        <v>259</v>
      </c>
      <c r="N515" s="35"/>
      <c r="O515" s="51"/>
      <c r="P515" s="51"/>
      <c r="Q515" s="64"/>
    </row>
    <row r="516" spans="1:22">
      <c r="A516" s="33" t="s">
        <v>114</v>
      </c>
      <c r="B516" s="37" t="s">
        <v>65</v>
      </c>
      <c r="C516" s="37" t="s">
        <v>14</v>
      </c>
      <c r="D516" s="57">
        <v>60</v>
      </c>
      <c r="E516" s="35">
        <v>30000</v>
      </c>
      <c r="F516" s="35">
        <v>42</v>
      </c>
      <c r="G516" s="37">
        <v>2</v>
      </c>
      <c r="H516" s="33" t="s">
        <v>194</v>
      </c>
      <c r="I516" s="33">
        <v>5</v>
      </c>
      <c r="J516" s="33">
        <v>4</v>
      </c>
      <c r="K516" s="33" t="s">
        <v>276</v>
      </c>
      <c r="L516" s="33" t="s">
        <v>157</v>
      </c>
      <c r="M516" s="43" t="s">
        <v>259</v>
      </c>
      <c r="N516" s="35">
        <v>0</v>
      </c>
      <c r="O516" s="51">
        <v>3.5799999999999272</v>
      </c>
      <c r="P516" s="51">
        <v>3.5799999999999272</v>
      </c>
      <c r="Q516" s="64">
        <v>1</v>
      </c>
      <c r="R516" s="76">
        <v>2.8818651960784321</v>
      </c>
      <c r="S516" s="76">
        <v>2.8818651960784321</v>
      </c>
      <c r="T516" s="66">
        <v>2.760902311382468</v>
      </c>
      <c r="U516" s="67">
        <f t="shared" ref="U516:U527" si="25">AVERAGE(S516:T516)</f>
        <v>2.82138375373045</v>
      </c>
      <c r="V516" s="66">
        <v>2.83249667017175</v>
      </c>
    </row>
    <row r="517" spans="1:22">
      <c r="A517" s="33" t="s">
        <v>114</v>
      </c>
      <c r="B517" s="37" t="s">
        <v>65</v>
      </c>
      <c r="C517" s="37" t="s">
        <v>14</v>
      </c>
      <c r="D517" s="57">
        <v>60</v>
      </c>
      <c r="E517" s="35">
        <v>30000</v>
      </c>
      <c r="F517" s="35">
        <v>42</v>
      </c>
      <c r="G517" s="37">
        <v>2</v>
      </c>
      <c r="H517" s="33" t="s">
        <v>194</v>
      </c>
      <c r="I517" s="33">
        <v>6</v>
      </c>
      <c r="J517" s="33">
        <v>5</v>
      </c>
      <c r="K517" s="33" t="s">
        <v>275</v>
      </c>
      <c r="L517" s="33" t="s">
        <v>158</v>
      </c>
      <c r="M517" s="43" t="s">
        <v>259</v>
      </c>
      <c r="N517" s="35">
        <v>2.47E-2</v>
      </c>
      <c r="O517" s="51" t="s">
        <v>395</v>
      </c>
      <c r="P517" s="51"/>
      <c r="Q517" s="64">
        <v>0</v>
      </c>
      <c r="R517" s="76">
        <v>2.861486370716511</v>
      </c>
      <c r="S517" s="76">
        <v>2.861486370716511</v>
      </c>
      <c r="T517" s="66">
        <v>2.74348151225592</v>
      </c>
      <c r="U517" s="67">
        <f t="shared" si="25"/>
        <v>2.8024839414862157</v>
      </c>
      <c r="V517" s="66">
        <v>2.8216055790960448</v>
      </c>
    </row>
    <row r="518" spans="1:22">
      <c r="A518" s="33" t="s">
        <v>114</v>
      </c>
      <c r="B518" s="37" t="s">
        <v>65</v>
      </c>
      <c r="C518" s="37" t="s">
        <v>22</v>
      </c>
      <c r="D518" s="57">
        <v>60</v>
      </c>
      <c r="E518" s="35">
        <v>30000</v>
      </c>
      <c r="F518" s="35">
        <v>42</v>
      </c>
      <c r="G518" s="37">
        <v>3</v>
      </c>
      <c r="H518" s="33" t="s">
        <v>199</v>
      </c>
      <c r="I518" s="33">
        <v>1</v>
      </c>
      <c r="J518" s="33"/>
      <c r="K518" s="33" t="s">
        <v>276</v>
      </c>
      <c r="L518" s="33" t="s">
        <v>156</v>
      </c>
      <c r="M518" s="43" t="s">
        <v>368</v>
      </c>
      <c r="N518" s="35"/>
      <c r="O518" s="51"/>
      <c r="P518" s="51"/>
      <c r="Q518" s="64"/>
      <c r="R518" s="76">
        <v>3.4380000000000002</v>
      </c>
      <c r="S518" s="76">
        <v>3.4380000000000002</v>
      </c>
      <c r="T518" s="66">
        <v>3.4380000000000002</v>
      </c>
      <c r="U518" s="67">
        <f t="shared" si="25"/>
        <v>3.4380000000000002</v>
      </c>
      <c r="V518" s="66">
        <v>3.4380000000000002</v>
      </c>
    </row>
    <row r="519" spans="1:22">
      <c r="A519" s="33" t="s">
        <v>114</v>
      </c>
      <c r="B519" s="37" t="s">
        <v>65</v>
      </c>
      <c r="C519" s="37" t="s">
        <v>22</v>
      </c>
      <c r="D519" s="57">
        <v>60</v>
      </c>
      <c r="E519" s="35">
        <v>30000</v>
      </c>
      <c r="F519" s="35">
        <v>42</v>
      </c>
      <c r="G519" s="37">
        <v>3</v>
      </c>
      <c r="H519" s="33" t="s">
        <v>199</v>
      </c>
      <c r="I519" s="33">
        <v>2</v>
      </c>
      <c r="J519" s="33">
        <v>1</v>
      </c>
      <c r="K519" s="33" t="s">
        <v>275</v>
      </c>
      <c r="L519" s="33" t="s">
        <v>157</v>
      </c>
      <c r="M519" s="43" t="s">
        <v>368</v>
      </c>
      <c r="N519" s="35">
        <v>0.15989999999999999</v>
      </c>
      <c r="O519" s="51">
        <v>9.3100000000000023</v>
      </c>
      <c r="P519" s="51">
        <v>9.3100000000000023</v>
      </c>
      <c r="Q519" s="64">
        <v>1</v>
      </c>
      <c r="R519" s="76">
        <v>2.8431410442349532</v>
      </c>
      <c r="S519" s="76">
        <v>2.8431410442349532</v>
      </c>
      <c r="T519" s="66">
        <v>2.7793841515934541</v>
      </c>
      <c r="U519" s="67">
        <f t="shared" si="25"/>
        <v>2.8112625979142036</v>
      </c>
      <c r="V519" s="66">
        <v>2.82871017471737</v>
      </c>
    </row>
    <row r="520" spans="1:22">
      <c r="A520" s="33" t="s">
        <v>114</v>
      </c>
      <c r="B520" s="37" t="s">
        <v>65</v>
      </c>
      <c r="C520" s="37" t="s">
        <v>22</v>
      </c>
      <c r="D520" s="57">
        <v>60</v>
      </c>
      <c r="E520" s="35">
        <v>30000</v>
      </c>
      <c r="F520" s="35">
        <v>42</v>
      </c>
      <c r="G520" s="37">
        <v>3</v>
      </c>
      <c r="H520" s="33" t="s">
        <v>199</v>
      </c>
      <c r="I520" s="33">
        <v>3</v>
      </c>
      <c r="J520" s="33">
        <v>2</v>
      </c>
      <c r="K520" s="33" t="s">
        <v>276</v>
      </c>
      <c r="L520" s="33" t="s">
        <v>153</v>
      </c>
      <c r="M520" s="43" t="s">
        <v>258</v>
      </c>
      <c r="N520" s="35">
        <v>3.85E-2</v>
      </c>
      <c r="O520" s="51">
        <v>9.6999999999999318</v>
      </c>
      <c r="P520" s="51">
        <v>9.6999999999999318</v>
      </c>
      <c r="Q520" s="64">
        <v>1</v>
      </c>
      <c r="R520" s="76">
        <v>2.790765721331689</v>
      </c>
      <c r="S520" s="76">
        <v>2.790765721331689</v>
      </c>
      <c r="T520" s="66">
        <v>2.665430582714118</v>
      </c>
      <c r="U520" s="67">
        <f t="shared" si="25"/>
        <v>2.7280981520229037</v>
      </c>
      <c r="V520" s="66">
        <v>2.738775554747181</v>
      </c>
    </row>
    <row r="521" spans="1:22">
      <c r="A521" s="33" t="s">
        <v>114</v>
      </c>
      <c r="B521" s="37" t="s">
        <v>65</v>
      </c>
      <c r="C521" s="37" t="s">
        <v>22</v>
      </c>
      <c r="D521" s="57">
        <v>60</v>
      </c>
      <c r="E521" s="35">
        <v>30000</v>
      </c>
      <c r="F521" s="35">
        <v>42</v>
      </c>
      <c r="G521" s="37">
        <v>3</v>
      </c>
      <c r="H521" s="33" t="s">
        <v>199</v>
      </c>
      <c r="I521" s="33">
        <v>4</v>
      </c>
      <c r="J521" s="33">
        <v>3</v>
      </c>
      <c r="K521" s="33" t="s">
        <v>276</v>
      </c>
      <c r="L521" s="33" t="s">
        <v>158</v>
      </c>
      <c r="M521" s="43" t="s">
        <v>258</v>
      </c>
      <c r="N521" s="35">
        <v>0.34799999999999998</v>
      </c>
      <c r="O521" s="51">
        <v>3.6299999999999955</v>
      </c>
      <c r="P521" s="51">
        <v>3.6299999999999955</v>
      </c>
      <c r="Q521" s="64">
        <v>1</v>
      </c>
      <c r="R521" s="76">
        <v>2.7874196465269212</v>
      </c>
      <c r="S521" s="76">
        <v>2.7874196465269212</v>
      </c>
      <c r="T521" s="66">
        <v>2.6550174904942971</v>
      </c>
      <c r="U521" s="67">
        <f t="shared" si="25"/>
        <v>2.7212185685106092</v>
      </c>
      <c r="V521" s="66">
        <v>2.734675617615467</v>
      </c>
    </row>
    <row r="522" spans="1:22">
      <c r="A522" s="33" t="s">
        <v>114</v>
      </c>
      <c r="B522" s="37" t="s">
        <v>65</v>
      </c>
      <c r="C522" s="37" t="s">
        <v>22</v>
      </c>
      <c r="D522" s="57">
        <v>60</v>
      </c>
      <c r="E522" s="35">
        <v>30000</v>
      </c>
      <c r="F522" s="35">
        <v>42</v>
      </c>
      <c r="G522" s="37">
        <v>3</v>
      </c>
      <c r="H522" s="33" t="s">
        <v>199</v>
      </c>
      <c r="I522" s="33">
        <v>5</v>
      </c>
      <c r="J522" s="33">
        <v>4</v>
      </c>
      <c r="K522" s="33" t="s">
        <v>275</v>
      </c>
      <c r="L522" s="33" t="s">
        <v>155</v>
      </c>
      <c r="M522" s="43" t="s">
        <v>258</v>
      </c>
      <c r="N522" s="35">
        <v>0.1076</v>
      </c>
      <c r="O522" s="51">
        <v>3.6200000000000045</v>
      </c>
      <c r="P522" s="51">
        <v>3.6200000000000045</v>
      </c>
      <c r="Q522" s="64">
        <v>1</v>
      </c>
      <c r="R522" s="76">
        <v>2.696224182444062</v>
      </c>
      <c r="S522" s="76">
        <v>2.696224182444062</v>
      </c>
      <c r="T522" s="66">
        <v>2.5879892729439811</v>
      </c>
      <c r="U522" s="67">
        <f t="shared" si="25"/>
        <v>2.6421067276940216</v>
      </c>
      <c r="V522" s="66">
        <v>2.6546560726447219</v>
      </c>
    </row>
    <row r="523" spans="1:22">
      <c r="A523" s="33" t="s">
        <v>114</v>
      </c>
      <c r="B523" s="37" t="s">
        <v>65</v>
      </c>
      <c r="C523" s="37" t="s">
        <v>22</v>
      </c>
      <c r="D523" s="57">
        <v>60</v>
      </c>
      <c r="E523" s="35">
        <v>30000</v>
      </c>
      <c r="F523" s="35">
        <v>42</v>
      </c>
      <c r="G523" s="37">
        <v>3</v>
      </c>
      <c r="H523" s="33" t="s">
        <v>199</v>
      </c>
      <c r="I523" s="33">
        <v>6</v>
      </c>
      <c r="J523" s="33">
        <v>5</v>
      </c>
      <c r="K523" s="33" t="s">
        <v>275</v>
      </c>
      <c r="L523" s="33" t="s">
        <v>154</v>
      </c>
      <c r="M523" s="43" t="s">
        <v>258</v>
      </c>
      <c r="N523" s="35">
        <v>4.7E-2</v>
      </c>
      <c r="O523" s="51" t="s">
        <v>395</v>
      </c>
      <c r="P523" s="51"/>
      <c r="Q523" s="64">
        <v>0</v>
      </c>
      <c r="R523" s="76">
        <v>2.66498114075437</v>
      </c>
      <c r="S523" s="76">
        <v>2.66498114075437</v>
      </c>
      <c r="T523" s="66">
        <v>2.567620447019868</v>
      </c>
      <c r="U523" s="67">
        <f t="shared" si="25"/>
        <v>2.616300793887119</v>
      </c>
      <c r="V523" s="66">
        <v>2.6448978557504881</v>
      </c>
    </row>
    <row r="524" spans="1:22">
      <c r="A524" s="32" t="s">
        <v>136</v>
      </c>
      <c r="B524" s="35" t="s">
        <v>65</v>
      </c>
      <c r="C524" s="35" t="s">
        <v>21</v>
      </c>
      <c r="D524" s="58">
        <v>26</v>
      </c>
      <c r="E524" s="35">
        <v>14000</v>
      </c>
      <c r="F524" s="35">
        <v>3.4169999999999998</v>
      </c>
      <c r="G524" s="35">
        <v>1</v>
      </c>
      <c r="H524" s="32" t="s">
        <v>197</v>
      </c>
      <c r="I524" s="32">
        <v>1</v>
      </c>
      <c r="J524" s="32">
        <v>1</v>
      </c>
      <c r="K524" s="32" t="s">
        <v>275</v>
      </c>
      <c r="L524" s="32" t="s">
        <v>154</v>
      </c>
      <c r="M524" s="42" t="s">
        <v>369</v>
      </c>
      <c r="N524" s="35">
        <v>0</v>
      </c>
      <c r="O524" s="51">
        <v>5.4230000000000018</v>
      </c>
      <c r="P524" s="51">
        <v>5.4230000000000018</v>
      </c>
      <c r="Q524" s="64">
        <v>1</v>
      </c>
      <c r="R524" s="76">
        <v>3.4911671619613678</v>
      </c>
      <c r="S524" s="76">
        <v>3.4911671619613678</v>
      </c>
      <c r="T524" s="66">
        <v>3.5681972812826772</v>
      </c>
      <c r="U524" s="67">
        <f t="shared" si="25"/>
        <v>3.5296822216220223</v>
      </c>
      <c r="V524" s="66">
        <v>3.5283850085178878</v>
      </c>
    </row>
    <row r="525" spans="1:22">
      <c r="A525" s="32" t="s">
        <v>136</v>
      </c>
      <c r="B525" s="35" t="s">
        <v>65</v>
      </c>
      <c r="C525" s="35" t="s">
        <v>21</v>
      </c>
      <c r="D525" s="58">
        <v>26</v>
      </c>
      <c r="E525" s="35">
        <v>14000</v>
      </c>
      <c r="F525" s="35">
        <v>3.4169999999999998</v>
      </c>
      <c r="G525" s="35">
        <v>1</v>
      </c>
      <c r="H525" s="32" t="s">
        <v>197</v>
      </c>
      <c r="I525" s="32">
        <v>2</v>
      </c>
      <c r="J525" s="32">
        <v>2</v>
      </c>
      <c r="K525" s="32" t="s">
        <v>276</v>
      </c>
      <c r="L525" s="32" t="s">
        <v>155</v>
      </c>
      <c r="M525" s="42" t="s">
        <v>369</v>
      </c>
      <c r="N525" s="35">
        <v>0</v>
      </c>
      <c r="O525" s="51">
        <v>0.51999999999998181</v>
      </c>
      <c r="P525" s="51">
        <v>0.51999999999998181</v>
      </c>
      <c r="Q525" s="64">
        <v>1</v>
      </c>
      <c r="R525" s="76">
        <v>3.629499190501889</v>
      </c>
      <c r="S525" s="76">
        <v>3.629499190501889</v>
      </c>
      <c r="T525" s="66">
        <v>3.9430084602368871</v>
      </c>
      <c r="U525" s="67">
        <f t="shared" si="25"/>
        <v>3.7862538253693883</v>
      </c>
      <c r="V525" s="66">
        <v>3.7629415584415589</v>
      </c>
    </row>
    <row r="526" spans="1:22">
      <c r="A526" s="32" t="s">
        <v>136</v>
      </c>
      <c r="B526" s="35" t="s">
        <v>65</v>
      </c>
      <c r="C526" s="35" t="s">
        <v>21</v>
      </c>
      <c r="D526" s="58">
        <v>26</v>
      </c>
      <c r="E526" s="35">
        <v>14000</v>
      </c>
      <c r="F526" s="35">
        <v>3.4169999999999998</v>
      </c>
      <c r="G526" s="35">
        <v>1</v>
      </c>
      <c r="H526" s="32" t="s">
        <v>197</v>
      </c>
      <c r="I526" s="32">
        <v>3</v>
      </c>
      <c r="J526" s="32">
        <v>3</v>
      </c>
      <c r="K526" s="32" t="s">
        <v>275</v>
      </c>
      <c r="L526" s="32" t="s">
        <v>158</v>
      </c>
      <c r="M526" s="42" t="s">
        <v>369</v>
      </c>
      <c r="N526" s="35">
        <v>0</v>
      </c>
      <c r="O526" s="51">
        <v>3.5040000000000191</v>
      </c>
      <c r="P526" s="51">
        <v>3.5040000000000191</v>
      </c>
      <c r="Q526" s="64">
        <v>1</v>
      </c>
      <c r="R526" s="76">
        <v>3.631364417177914</v>
      </c>
      <c r="S526" s="76">
        <v>3.631364417177914</v>
      </c>
      <c r="T526" s="66">
        <v>3.7405565552699231</v>
      </c>
      <c r="U526" s="67">
        <f t="shared" si="25"/>
        <v>3.6859604862239186</v>
      </c>
      <c r="V526" s="66">
        <v>3.702833976833976</v>
      </c>
    </row>
    <row r="527" spans="1:22">
      <c r="A527" s="32" t="s">
        <v>136</v>
      </c>
      <c r="B527" s="35" t="s">
        <v>65</v>
      </c>
      <c r="C527" s="35" t="s">
        <v>21</v>
      </c>
      <c r="D527" s="58">
        <v>26</v>
      </c>
      <c r="E527" s="35">
        <v>14000</v>
      </c>
      <c r="F527" s="35">
        <v>3.4169999999999998</v>
      </c>
      <c r="G527" s="35">
        <v>1</v>
      </c>
      <c r="H527" s="32" t="s">
        <v>197</v>
      </c>
      <c r="I527" s="32">
        <v>4</v>
      </c>
      <c r="J527" s="32">
        <v>4</v>
      </c>
      <c r="K527" s="32" t="s">
        <v>276</v>
      </c>
      <c r="L527" s="32" t="s">
        <v>157</v>
      </c>
      <c r="M527" s="42" t="s">
        <v>369</v>
      </c>
      <c r="N527" s="35">
        <v>0</v>
      </c>
      <c r="O527" s="51" t="s">
        <v>395</v>
      </c>
      <c r="P527" s="51"/>
      <c r="Q527" s="64">
        <v>0</v>
      </c>
      <c r="R527" s="76">
        <v>4.0034013029315956</v>
      </c>
      <c r="S527" s="76">
        <v>4.0034013029315956</v>
      </c>
      <c r="T527" s="66">
        <v>4.0624424393279401</v>
      </c>
      <c r="U527" s="67">
        <f t="shared" si="25"/>
        <v>4.0329218711297674</v>
      </c>
      <c r="V527" s="66">
        <v>4.0370665887850468</v>
      </c>
    </row>
    <row r="528" spans="1:22">
      <c r="A528" s="32" t="s">
        <v>136</v>
      </c>
      <c r="B528" s="35" t="s">
        <v>65</v>
      </c>
      <c r="C528" s="35" t="s">
        <v>21</v>
      </c>
      <c r="D528" s="58">
        <v>26</v>
      </c>
      <c r="E528" s="35">
        <v>14000</v>
      </c>
      <c r="F528" s="35">
        <v>3.4169999999999998</v>
      </c>
      <c r="G528" s="35">
        <v>1</v>
      </c>
      <c r="H528" s="32" t="s">
        <v>197</v>
      </c>
      <c r="I528" s="32">
        <v>5</v>
      </c>
      <c r="K528" s="32" t="s">
        <v>276</v>
      </c>
      <c r="L528" s="32" t="s">
        <v>156</v>
      </c>
      <c r="M528" s="42" t="s">
        <v>369</v>
      </c>
      <c r="N528" s="35"/>
      <c r="O528" s="51"/>
      <c r="P528" s="51"/>
      <c r="Q528" s="64"/>
    </row>
    <row r="529" spans="1:22">
      <c r="A529" s="32" t="s">
        <v>136</v>
      </c>
      <c r="B529" s="35" t="s">
        <v>65</v>
      </c>
      <c r="C529" s="35" t="s">
        <v>21</v>
      </c>
      <c r="D529" s="58">
        <v>26</v>
      </c>
      <c r="E529" s="35">
        <v>14000</v>
      </c>
      <c r="F529" s="35">
        <v>3.4169999999999998</v>
      </c>
      <c r="G529" s="35">
        <v>1</v>
      </c>
      <c r="H529" s="32" t="s">
        <v>197</v>
      </c>
      <c r="I529" s="32">
        <v>6</v>
      </c>
      <c r="J529" s="32">
        <v>5</v>
      </c>
      <c r="K529" s="32" t="s">
        <v>275</v>
      </c>
      <c r="L529" s="32" t="s">
        <v>153</v>
      </c>
      <c r="M529" s="42" t="s">
        <v>369</v>
      </c>
      <c r="N529" s="35">
        <v>0</v>
      </c>
      <c r="O529" s="51">
        <v>9.0950000000000273</v>
      </c>
      <c r="P529" s="51">
        <v>9.0950000000000273</v>
      </c>
      <c r="Q529" s="64">
        <v>1</v>
      </c>
      <c r="R529" s="76">
        <v>3.8310750517598349</v>
      </c>
      <c r="S529" s="76">
        <v>3.8310750517598349</v>
      </c>
      <c r="T529" s="66">
        <v>3.942053427419355</v>
      </c>
      <c r="U529" s="67">
        <f>AVERAGE(S529:T529)</f>
        <v>3.8865642395895952</v>
      </c>
      <c r="V529" s="66">
        <v>3.8755168756026999</v>
      </c>
    </row>
    <row r="530" spans="1:22">
      <c r="A530" s="32" t="s">
        <v>136</v>
      </c>
      <c r="B530" s="35" t="s">
        <v>65</v>
      </c>
      <c r="C530" s="35" t="s">
        <v>14</v>
      </c>
      <c r="D530" s="58">
        <v>26</v>
      </c>
      <c r="E530" s="35">
        <v>14000</v>
      </c>
      <c r="F530" s="35">
        <v>3.4169999999999998</v>
      </c>
      <c r="G530" s="35">
        <v>2</v>
      </c>
      <c r="H530" s="32" t="s">
        <v>199</v>
      </c>
      <c r="I530" s="32">
        <v>1</v>
      </c>
      <c r="K530" s="32" t="s">
        <v>276</v>
      </c>
      <c r="L530" s="32" t="s">
        <v>156</v>
      </c>
      <c r="M530" s="42" t="s">
        <v>370</v>
      </c>
      <c r="N530" s="35"/>
      <c r="O530" s="51"/>
      <c r="P530" s="51"/>
      <c r="Q530" s="64"/>
      <c r="R530" s="76">
        <v>4.5350000000000001</v>
      </c>
      <c r="S530" s="76">
        <v>4.5350000000000001</v>
      </c>
      <c r="T530" s="66">
        <v>4.766</v>
      </c>
      <c r="U530" s="67">
        <f>AVERAGE(S530:T530)</f>
        <v>4.6505000000000001</v>
      </c>
      <c r="V530" s="66">
        <v>4.6509999999999998</v>
      </c>
    </row>
    <row r="531" spans="1:22">
      <c r="A531" s="32" t="s">
        <v>136</v>
      </c>
      <c r="B531" s="35" t="s">
        <v>65</v>
      </c>
      <c r="C531" s="35" t="s">
        <v>14</v>
      </c>
      <c r="D531" s="58">
        <v>26</v>
      </c>
      <c r="E531" s="35">
        <v>14000</v>
      </c>
      <c r="F531" s="35">
        <v>3.4169999999999998</v>
      </c>
      <c r="G531" s="35">
        <v>2</v>
      </c>
      <c r="H531" s="32" t="s">
        <v>199</v>
      </c>
      <c r="I531" s="32">
        <v>2</v>
      </c>
      <c r="J531" s="32">
        <v>1</v>
      </c>
      <c r="K531" s="32" t="s">
        <v>275</v>
      </c>
      <c r="L531" s="32" t="s">
        <v>157</v>
      </c>
      <c r="M531" s="42" t="s">
        <v>370</v>
      </c>
      <c r="N531" s="35">
        <v>0</v>
      </c>
      <c r="O531" s="51">
        <v>8.5900000000000318</v>
      </c>
      <c r="P531" s="51">
        <v>8.5900000000000318</v>
      </c>
      <c r="Q531" s="64">
        <v>1</v>
      </c>
      <c r="R531" s="76">
        <v>3.80020827123696</v>
      </c>
      <c r="S531" s="76">
        <v>3.80020827123696</v>
      </c>
      <c r="T531" s="66">
        <v>3.9409301983835419</v>
      </c>
      <c r="U531" s="67">
        <f>AVERAGE(S531:T531)</f>
        <v>3.8705692348102509</v>
      </c>
      <c r="V531" s="66">
        <v>3.8642433501078362</v>
      </c>
    </row>
    <row r="532" spans="1:22">
      <c r="A532" s="32" t="s">
        <v>136</v>
      </c>
      <c r="B532" s="35" t="s">
        <v>65</v>
      </c>
      <c r="C532" s="35" t="s">
        <v>14</v>
      </c>
      <c r="D532" s="58">
        <v>26</v>
      </c>
      <c r="E532" s="35">
        <v>14000</v>
      </c>
      <c r="F532" s="35">
        <v>3.4169999999999998</v>
      </c>
      <c r="G532" s="35">
        <v>2</v>
      </c>
      <c r="H532" s="32" t="s">
        <v>199</v>
      </c>
      <c r="I532" s="32">
        <v>3</v>
      </c>
      <c r="J532" s="32">
        <v>2</v>
      </c>
      <c r="K532" s="32" t="s">
        <v>276</v>
      </c>
      <c r="L532" s="32" t="s">
        <v>153</v>
      </c>
      <c r="M532" s="42" t="s">
        <v>230</v>
      </c>
      <c r="N532" s="35">
        <v>0</v>
      </c>
      <c r="O532" s="51">
        <v>9.3999999999999773</v>
      </c>
      <c r="P532" s="51">
        <v>9.3999999999999773</v>
      </c>
      <c r="Q532" s="64">
        <v>1</v>
      </c>
      <c r="R532" s="76">
        <v>3.7252133287530058</v>
      </c>
      <c r="S532" s="76">
        <v>3.7252133287530058</v>
      </c>
      <c r="T532" s="66">
        <v>3.856992413294797</v>
      </c>
      <c r="U532" s="67">
        <f>AVERAGE(S532:T532)</f>
        <v>3.7911028710239014</v>
      </c>
      <c r="V532" s="66">
        <v>3.7866052454606591</v>
      </c>
    </row>
    <row r="533" spans="1:22">
      <c r="A533" s="32" t="s">
        <v>136</v>
      </c>
      <c r="B533" s="35" t="s">
        <v>65</v>
      </c>
      <c r="C533" s="35" t="s">
        <v>14</v>
      </c>
      <c r="D533" s="58">
        <v>26</v>
      </c>
      <c r="E533" s="35">
        <v>14000</v>
      </c>
      <c r="F533" s="35">
        <v>3.4169999999999998</v>
      </c>
      <c r="G533" s="35">
        <v>2</v>
      </c>
      <c r="H533" s="32" t="s">
        <v>199</v>
      </c>
      <c r="I533" s="32">
        <v>4</v>
      </c>
      <c r="J533" s="32">
        <v>3</v>
      </c>
      <c r="K533" s="32" t="s">
        <v>276</v>
      </c>
      <c r="L533" s="32" t="s">
        <v>158</v>
      </c>
      <c r="M533" s="42" t="s">
        <v>230</v>
      </c>
      <c r="N533" s="35">
        <v>0</v>
      </c>
      <c r="O533" s="51">
        <v>3.3400000000000318</v>
      </c>
      <c r="P533" s="51">
        <v>3.3400000000000318</v>
      </c>
      <c r="Q533" s="64">
        <v>1</v>
      </c>
      <c r="R533" s="76">
        <v>4.167955961778147</v>
      </c>
      <c r="S533" s="76">
        <v>4.167955961778147</v>
      </c>
      <c r="T533" s="66">
        <v>4.32461482203803</v>
      </c>
      <c r="U533" s="67">
        <f>AVERAGE(S533:T533)</f>
        <v>4.2462853919080885</v>
      </c>
      <c r="V533" s="66">
        <v>4.2140822861775433</v>
      </c>
    </row>
    <row r="534" spans="1:22">
      <c r="A534" s="32" t="s">
        <v>136</v>
      </c>
      <c r="B534" s="35" t="s">
        <v>65</v>
      </c>
      <c r="C534" s="35" t="s">
        <v>14</v>
      </c>
      <c r="D534" s="58">
        <v>26</v>
      </c>
      <c r="E534" s="35">
        <v>14000</v>
      </c>
      <c r="F534" s="35">
        <v>3.4169999999999998</v>
      </c>
      <c r="G534" s="35">
        <v>2</v>
      </c>
      <c r="H534" s="32" t="s">
        <v>199</v>
      </c>
      <c r="I534" s="32">
        <v>5</v>
      </c>
      <c r="J534" s="32">
        <v>4</v>
      </c>
      <c r="K534" s="32" t="s">
        <v>275</v>
      </c>
      <c r="L534" s="32" t="s">
        <v>155</v>
      </c>
      <c r="M534" s="42" t="s">
        <v>230</v>
      </c>
      <c r="N534" s="35"/>
      <c r="O534" s="51" t="s">
        <v>394</v>
      </c>
      <c r="P534" s="51" t="s">
        <v>394</v>
      </c>
      <c r="Q534" s="64" t="s">
        <v>274</v>
      </c>
    </row>
    <row r="535" spans="1:22">
      <c r="A535" s="32" t="s">
        <v>136</v>
      </c>
      <c r="B535" s="35" t="s">
        <v>65</v>
      </c>
      <c r="C535" s="35" t="s">
        <v>14</v>
      </c>
      <c r="D535" s="58">
        <v>26</v>
      </c>
      <c r="E535" s="35">
        <v>14000</v>
      </c>
      <c r="F535" s="35">
        <v>3.4169999999999998</v>
      </c>
      <c r="G535" s="35">
        <v>2</v>
      </c>
      <c r="H535" s="32" t="s">
        <v>199</v>
      </c>
      <c r="I535" s="32">
        <v>6</v>
      </c>
      <c r="J535" s="32">
        <v>5</v>
      </c>
      <c r="K535" s="32" t="s">
        <v>275</v>
      </c>
      <c r="L535" s="32" t="s">
        <v>154</v>
      </c>
      <c r="M535" s="42" t="s">
        <v>230</v>
      </c>
      <c r="N535" s="35">
        <v>0</v>
      </c>
      <c r="O535" s="51">
        <v>6.8699999999998909</v>
      </c>
      <c r="P535" s="51">
        <v>6.8699999999998909</v>
      </c>
      <c r="Q535" s="64">
        <v>1</v>
      </c>
      <c r="R535" s="76">
        <v>3.571953829634932</v>
      </c>
      <c r="S535" s="76">
        <v>3.571953829634932</v>
      </c>
      <c r="T535" s="66">
        <v>3.7008403873744622</v>
      </c>
      <c r="U535" s="67">
        <f>AVERAGE(S535:T535)</f>
        <v>3.6363971085046973</v>
      </c>
      <c r="V535" s="66">
        <v>3.6333385525400139</v>
      </c>
    </row>
    <row r="536" spans="1:22">
      <c r="A536" s="32" t="s">
        <v>136</v>
      </c>
      <c r="B536" s="35" t="s">
        <v>65</v>
      </c>
      <c r="C536" s="35" t="s">
        <v>22</v>
      </c>
      <c r="D536" s="58">
        <v>26</v>
      </c>
      <c r="E536" s="35">
        <v>14000</v>
      </c>
      <c r="F536" s="35">
        <v>3.4169999999999998</v>
      </c>
      <c r="G536" s="35">
        <v>3</v>
      </c>
      <c r="H536" s="32" t="s">
        <v>194</v>
      </c>
      <c r="I536" s="32">
        <v>1</v>
      </c>
      <c r="J536" s="32">
        <v>1</v>
      </c>
      <c r="K536" s="32" t="s">
        <v>275</v>
      </c>
      <c r="L536" s="32" t="s">
        <v>153</v>
      </c>
      <c r="M536" s="42" t="s">
        <v>371</v>
      </c>
      <c r="N536" s="35">
        <v>0</v>
      </c>
      <c r="O536" s="51" t="s">
        <v>395</v>
      </c>
      <c r="P536" s="51"/>
      <c r="Q536" s="64">
        <v>0</v>
      </c>
      <c r="R536" s="76">
        <v>3.978619686800895</v>
      </c>
      <c r="S536" s="76">
        <v>3.978619686800895</v>
      </c>
      <c r="T536" s="66">
        <v>4.0890783393501806</v>
      </c>
      <c r="U536" s="67">
        <f>AVERAGE(S536:T536)</f>
        <v>4.033849013075538</v>
      </c>
      <c r="V536" s="66">
        <v>4.0308302087018042</v>
      </c>
    </row>
    <row r="537" spans="1:22">
      <c r="A537" s="32" t="s">
        <v>136</v>
      </c>
      <c r="B537" s="35" t="s">
        <v>65</v>
      </c>
      <c r="C537" s="35" t="s">
        <v>22</v>
      </c>
      <c r="D537" s="58">
        <v>26</v>
      </c>
      <c r="E537" s="35">
        <v>14000</v>
      </c>
      <c r="F537" s="35">
        <v>3.4169999999999998</v>
      </c>
      <c r="G537" s="35">
        <v>3</v>
      </c>
      <c r="H537" s="32" t="s">
        <v>194</v>
      </c>
      <c r="I537" s="32">
        <v>2</v>
      </c>
      <c r="J537" s="32">
        <v>2</v>
      </c>
      <c r="K537" s="32" t="s">
        <v>276</v>
      </c>
      <c r="L537" s="32" t="s">
        <v>154</v>
      </c>
      <c r="M537" s="42" t="s">
        <v>371</v>
      </c>
      <c r="N537" s="35">
        <v>0</v>
      </c>
      <c r="O537" s="51">
        <v>9.5800000000000409</v>
      </c>
      <c r="P537" s="51">
        <v>9.5800000000000409</v>
      </c>
      <c r="Q537" s="64">
        <v>1</v>
      </c>
      <c r="R537" s="76">
        <v>4.90138557558946</v>
      </c>
      <c r="S537" s="76">
        <v>4.90138557558946</v>
      </c>
      <c r="T537" s="66">
        <v>4.8970263157894731</v>
      </c>
      <c r="U537" s="67">
        <f>AVERAGE(S537:T537)</f>
        <v>4.8992059456894665</v>
      </c>
      <c r="V537" s="66">
        <v>4.8621559854897223</v>
      </c>
    </row>
    <row r="538" spans="1:22">
      <c r="A538" s="32" t="s">
        <v>136</v>
      </c>
      <c r="B538" s="35" t="s">
        <v>65</v>
      </c>
      <c r="C538" s="35" t="s">
        <v>22</v>
      </c>
      <c r="D538" s="58">
        <v>26</v>
      </c>
      <c r="E538" s="35">
        <v>14000</v>
      </c>
      <c r="F538" s="35">
        <v>3.4169999999999998</v>
      </c>
      <c r="G538" s="35">
        <v>3</v>
      </c>
      <c r="H538" s="32" t="s">
        <v>194</v>
      </c>
      <c r="I538" s="32">
        <v>3</v>
      </c>
      <c r="J538" s="32">
        <v>3</v>
      </c>
      <c r="K538" s="32" t="s">
        <v>276</v>
      </c>
      <c r="L538" s="32" t="s">
        <v>155</v>
      </c>
      <c r="M538" s="42" t="s">
        <v>268</v>
      </c>
      <c r="N538" s="35">
        <v>0</v>
      </c>
      <c r="O538" s="51">
        <v>5.6599999999999682</v>
      </c>
      <c r="P538" s="51">
        <v>5.6599999999999682</v>
      </c>
      <c r="Q538" s="64">
        <v>1</v>
      </c>
      <c r="R538" s="76">
        <v>3.5743825342465749</v>
      </c>
      <c r="S538" s="76">
        <v>3.5743825342465749</v>
      </c>
      <c r="T538" s="66">
        <v>3.590071501186038</v>
      </c>
      <c r="U538" s="67">
        <f>AVERAGE(S538:T538)</f>
        <v>3.5822270177163062</v>
      </c>
      <c r="V538" s="66">
        <v>3.5798166944908179</v>
      </c>
    </row>
    <row r="539" spans="1:22">
      <c r="A539" s="32" t="s">
        <v>136</v>
      </c>
      <c r="B539" s="35" t="s">
        <v>65</v>
      </c>
      <c r="C539" s="35" t="s">
        <v>22</v>
      </c>
      <c r="D539" s="58">
        <v>26</v>
      </c>
      <c r="E539" s="35">
        <v>14000</v>
      </c>
      <c r="F539" s="35">
        <v>3.4169999999999998</v>
      </c>
      <c r="G539" s="35">
        <v>3</v>
      </c>
      <c r="H539" s="32" t="s">
        <v>194</v>
      </c>
      <c r="I539" s="32">
        <v>4</v>
      </c>
      <c r="K539" s="32" t="s">
        <v>275</v>
      </c>
      <c r="L539" s="32" t="s">
        <v>156</v>
      </c>
      <c r="M539" s="42" t="s">
        <v>268</v>
      </c>
      <c r="N539" s="35"/>
      <c r="O539" s="51"/>
      <c r="P539" s="51"/>
      <c r="Q539" s="64"/>
    </row>
    <row r="540" spans="1:22">
      <c r="A540" s="32" t="s">
        <v>136</v>
      </c>
      <c r="B540" s="35" t="s">
        <v>65</v>
      </c>
      <c r="C540" s="35" t="s">
        <v>22</v>
      </c>
      <c r="D540" s="58">
        <v>26</v>
      </c>
      <c r="E540" s="35">
        <v>14000</v>
      </c>
      <c r="F540" s="35">
        <v>3.4169999999999998</v>
      </c>
      <c r="G540" s="35">
        <v>3</v>
      </c>
      <c r="H540" s="32" t="s">
        <v>194</v>
      </c>
      <c r="I540" s="32">
        <v>5</v>
      </c>
      <c r="J540" s="32">
        <v>4</v>
      </c>
      <c r="K540" s="32" t="s">
        <v>276</v>
      </c>
      <c r="L540" s="32" t="s">
        <v>157</v>
      </c>
      <c r="M540" s="42" t="s">
        <v>268</v>
      </c>
      <c r="N540" s="35">
        <v>0</v>
      </c>
      <c r="O540" s="51">
        <v>6</v>
      </c>
      <c r="P540" s="51">
        <v>6</v>
      </c>
      <c r="Q540" s="64">
        <v>1</v>
      </c>
      <c r="R540" s="76">
        <v>3.442177552897884</v>
      </c>
      <c r="S540" s="76">
        <v>3.442177552897884</v>
      </c>
      <c r="T540" s="66">
        <v>3.473877515310587</v>
      </c>
      <c r="U540" s="67">
        <f>AVERAGE(S540:T540)</f>
        <v>3.4580275341042355</v>
      </c>
      <c r="V540" s="66">
        <v>3.4614368512110731</v>
      </c>
    </row>
    <row r="541" spans="1:22">
      <c r="A541" s="32" t="s">
        <v>136</v>
      </c>
      <c r="B541" s="35" t="s">
        <v>65</v>
      </c>
      <c r="C541" s="35" t="s">
        <v>22</v>
      </c>
      <c r="D541" s="58">
        <v>26</v>
      </c>
      <c r="E541" s="35">
        <v>14000</v>
      </c>
      <c r="F541" s="35">
        <v>3.4169999999999998</v>
      </c>
      <c r="G541" s="35">
        <v>3</v>
      </c>
      <c r="H541" s="32" t="s">
        <v>194</v>
      </c>
      <c r="I541" s="32">
        <v>6</v>
      </c>
      <c r="J541" s="32">
        <v>5</v>
      </c>
      <c r="K541" s="32" t="s">
        <v>275</v>
      </c>
      <c r="L541" s="32" t="s">
        <v>158</v>
      </c>
      <c r="M541" s="42" t="s">
        <v>268</v>
      </c>
      <c r="N541" s="35">
        <v>0</v>
      </c>
      <c r="O541" s="51">
        <v>6.0600000000001728</v>
      </c>
      <c r="P541" s="51">
        <v>6.0600000000001728</v>
      </c>
      <c r="Q541" s="64">
        <v>1</v>
      </c>
      <c r="R541" s="76">
        <v>4.1537519110493397</v>
      </c>
      <c r="S541" s="76">
        <v>4.1537519110493397</v>
      </c>
      <c r="T541" s="66">
        <v>4.1466157534246566</v>
      </c>
      <c r="U541" s="67">
        <f>AVERAGE(S541:T541)</f>
        <v>4.1501838322369977</v>
      </c>
      <c r="V541" s="66">
        <v>4.1529945891105848</v>
      </c>
    </row>
    <row r="542" spans="1:22">
      <c r="A542" s="33" t="s">
        <v>138</v>
      </c>
      <c r="B542" s="37" t="s">
        <v>65</v>
      </c>
      <c r="C542" s="37" t="s">
        <v>14</v>
      </c>
      <c r="D542" s="58">
        <v>27</v>
      </c>
      <c r="E542" s="35">
        <v>5000</v>
      </c>
      <c r="F542" s="35">
        <v>2</v>
      </c>
      <c r="G542" s="37">
        <v>1</v>
      </c>
      <c r="H542" s="33" t="s">
        <v>194</v>
      </c>
      <c r="I542" s="33">
        <v>1</v>
      </c>
      <c r="J542" s="33">
        <v>1</v>
      </c>
      <c r="K542" s="33" t="s">
        <v>275</v>
      </c>
      <c r="L542" s="33" t="s">
        <v>153</v>
      </c>
      <c r="M542" s="48" t="s">
        <v>372</v>
      </c>
      <c r="N542" s="35">
        <v>0</v>
      </c>
      <c r="O542" s="51">
        <v>1.48700000000008</v>
      </c>
      <c r="P542" s="51">
        <v>1.48700000000008</v>
      </c>
      <c r="Q542" s="64">
        <v>1</v>
      </c>
      <c r="R542" s="76">
        <v>3.3468762193070969</v>
      </c>
      <c r="S542" s="76">
        <v>3.3468762193070969</v>
      </c>
      <c r="T542" s="66">
        <v>3.202868519146052</v>
      </c>
      <c r="U542" s="67">
        <f>AVERAGE(S542:T542)</f>
        <v>3.2748723692265744</v>
      </c>
      <c r="V542" s="66">
        <v>3.2759782608695649</v>
      </c>
    </row>
    <row r="543" spans="1:22">
      <c r="A543" s="33" t="s">
        <v>138</v>
      </c>
      <c r="B543" s="37" t="s">
        <v>65</v>
      </c>
      <c r="C543" s="37" t="s">
        <v>14</v>
      </c>
      <c r="D543" s="58">
        <v>27</v>
      </c>
      <c r="E543" s="35">
        <v>5000</v>
      </c>
      <c r="F543" s="35">
        <v>2</v>
      </c>
      <c r="G543" s="37">
        <v>1</v>
      </c>
      <c r="H543" s="33" t="s">
        <v>194</v>
      </c>
      <c r="I543" s="33">
        <v>2</v>
      </c>
      <c r="J543" s="33">
        <v>2</v>
      </c>
      <c r="K543" s="33" t="s">
        <v>276</v>
      </c>
      <c r="L543" s="33" t="s">
        <v>154</v>
      </c>
      <c r="M543" s="48" t="s">
        <v>372</v>
      </c>
      <c r="N543" s="35">
        <v>0</v>
      </c>
      <c r="O543" s="51">
        <v>3.2419999999999618</v>
      </c>
      <c r="P543" s="51">
        <v>3.2419999999999618</v>
      </c>
      <c r="Q543" s="64">
        <v>1</v>
      </c>
      <c r="R543" s="76">
        <v>3.2976515304406329</v>
      </c>
      <c r="S543" s="76">
        <v>3.2976515304406329</v>
      </c>
      <c r="T543" s="66">
        <v>3.1553974881194842</v>
      </c>
      <c r="U543" s="67">
        <f>AVERAGE(S543:T543)</f>
        <v>3.2265245092800585</v>
      </c>
      <c r="V543" s="66">
        <v>3.2281378504672902</v>
      </c>
    </row>
    <row r="544" spans="1:22">
      <c r="A544" s="33" t="s">
        <v>138</v>
      </c>
      <c r="B544" s="37" t="s">
        <v>65</v>
      </c>
      <c r="C544" s="37" t="s">
        <v>14</v>
      </c>
      <c r="D544" s="58">
        <v>27</v>
      </c>
      <c r="E544" s="35">
        <v>5000</v>
      </c>
      <c r="F544" s="35">
        <v>2</v>
      </c>
      <c r="G544" s="37">
        <v>1</v>
      </c>
      <c r="H544" s="33" t="s">
        <v>194</v>
      </c>
      <c r="I544" s="33">
        <v>3</v>
      </c>
      <c r="J544" s="33">
        <v>3</v>
      </c>
      <c r="K544" s="33" t="s">
        <v>276</v>
      </c>
      <c r="L544" s="33" t="s">
        <v>155</v>
      </c>
      <c r="M544" s="48" t="s">
        <v>372</v>
      </c>
      <c r="N544" s="35">
        <v>0</v>
      </c>
      <c r="O544" s="51">
        <v>0.7580000000000382</v>
      </c>
      <c r="P544" s="51">
        <v>0.7580000000000382</v>
      </c>
      <c r="Q544" s="64">
        <v>1</v>
      </c>
      <c r="R544" s="76">
        <v>3.2557526085493098</v>
      </c>
      <c r="S544" s="76">
        <v>3.2557526085493098</v>
      </c>
      <c r="T544" s="66">
        <v>3.102832415691672</v>
      </c>
      <c r="U544" s="67">
        <f>AVERAGE(S544:T544)</f>
        <v>3.1792925121204911</v>
      </c>
      <c r="V544" s="66">
        <v>3.1830347709796061</v>
      </c>
    </row>
    <row r="545" spans="1:22">
      <c r="A545" s="33" t="s">
        <v>138</v>
      </c>
      <c r="B545" s="37" t="s">
        <v>65</v>
      </c>
      <c r="C545" s="37" t="s">
        <v>14</v>
      </c>
      <c r="D545" s="58">
        <v>27</v>
      </c>
      <c r="E545" s="35">
        <v>5000</v>
      </c>
      <c r="F545" s="35">
        <v>2</v>
      </c>
      <c r="G545" s="37">
        <v>1</v>
      </c>
      <c r="H545" s="33" t="s">
        <v>194</v>
      </c>
      <c r="I545" s="33">
        <v>4</v>
      </c>
      <c r="J545" s="33"/>
      <c r="K545" s="33" t="s">
        <v>275</v>
      </c>
      <c r="L545" s="33" t="s">
        <v>156</v>
      </c>
      <c r="M545" s="48" t="s">
        <v>372</v>
      </c>
      <c r="N545" s="35"/>
      <c r="O545" s="51"/>
      <c r="P545" s="51"/>
      <c r="Q545" s="64"/>
    </row>
    <row r="546" spans="1:22">
      <c r="A546" s="33" t="s">
        <v>138</v>
      </c>
      <c r="B546" s="37" t="s">
        <v>65</v>
      </c>
      <c r="C546" s="37" t="s">
        <v>14</v>
      </c>
      <c r="D546" s="58">
        <v>27</v>
      </c>
      <c r="E546" s="35">
        <v>5000</v>
      </c>
      <c r="F546" s="35">
        <v>2</v>
      </c>
      <c r="G546" s="37">
        <v>1</v>
      </c>
      <c r="H546" s="33" t="s">
        <v>194</v>
      </c>
      <c r="I546" s="33">
        <v>5</v>
      </c>
      <c r="J546" s="33">
        <v>4</v>
      </c>
      <c r="K546" s="33" t="s">
        <v>276</v>
      </c>
      <c r="L546" s="33" t="s">
        <v>157</v>
      </c>
      <c r="M546" s="48" t="s">
        <v>372</v>
      </c>
      <c r="N546" s="35">
        <v>0</v>
      </c>
      <c r="O546" s="51">
        <v>2</v>
      </c>
      <c r="P546" s="51">
        <v>2</v>
      </c>
      <c r="Q546" s="64">
        <v>1</v>
      </c>
      <c r="R546" s="76">
        <v>3.208524798927614</v>
      </c>
      <c r="S546" s="76">
        <v>3.208524798927614</v>
      </c>
      <c r="T546" s="66">
        <v>3.0569727364523729</v>
      </c>
      <c r="U546" s="67">
        <f t="shared" ref="U546:U553" si="26">AVERAGE(S546:T546)</f>
        <v>3.1327487676899937</v>
      </c>
      <c r="V546" s="66">
        <v>3.1332929596262931</v>
      </c>
    </row>
    <row r="547" spans="1:22">
      <c r="A547" s="33" t="s">
        <v>138</v>
      </c>
      <c r="B547" s="37" t="s">
        <v>65</v>
      </c>
      <c r="C547" s="37" t="s">
        <v>14</v>
      </c>
      <c r="D547" s="58">
        <v>27</v>
      </c>
      <c r="E547" s="35">
        <v>5000</v>
      </c>
      <c r="F547" s="35">
        <v>2</v>
      </c>
      <c r="G547" s="37">
        <v>1</v>
      </c>
      <c r="H547" s="33" t="s">
        <v>194</v>
      </c>
      <c r="I547" s="33">
        <v>6</v>
      </c>
      <c r="J547" s="33">
        <v>5</v>
      </c>
      <c r="K547" s="33" t="s">
        <v>275</v>
      </c>
      <c r="L547" s="33" t="s">
        <v>158</v>
      </c>
      <c r="M547" s="48" t="s">
        <v>372</v>
      </c>
      <c r="N547" s="35">
        <v>0</v>
      </c>
      <c r="O547" s="51">
        <v>2.80600000000004</v>
      </c>
      <c r="P547" s="51">
        <v>2.80600000000004</v>
      </c>
      <c r="Q547" s="64">
        <v>1</v>
      </c>
      <c r="R547" s="76">
        <v>3.349584899214213</v>
      </c>
      <c r="S547" s="76">
        <v>3.349584899214213</v>
      </c>
      <c r="T547" s="66">
        <v>3.1404392197840481</v>
      </c>
      <c r="U547" s="67">
        <f t="shared" si="26"/>
        <v>3.2450120594991305</v>
      </c>
      <c r="V547" s="66">
        <v>3.24695086411386</v>
      </c>
    </row>
    <row r="548" spans="1:22">
      <c r="A548" s="33" t="s">
        <v>138</v>
      </c>
      <c r="B548" s="37" t="s">
        <v>65</v>
      </c>
      <c r="C548" s="37" t="s">
        <v>21</v>
      </c>
      <c r="D548" s="58">
        <v>27</v>
      </c>
      <c r="E548" s="35">
        <v>5000</v>
      </c>
      <c r="F548" s="35">
        <v>2</v>
      </c>
      <c r="G548" s="37">
        <v>2</v>
      </c>
      <c r="H548" s="33" t="s">
        <v>197</v>
      </c>
      <c r="I548" s="33">
        <v>1</v>
      </c>
      <c r="J548" s="33">
        <v>1</v>
      </c>
      <c r="K548" s="33" t="s">
        <v>275</v>
      </c>
      <c r="L548" s="33" t="s">
        <v>154</v>
      </c>
      <c r="M548" s="48" t="s">
        <v>373</v>
      </c>
      <c r="N548" s="35">
        <v>0</v>
      </c>
      <c r="O548" s="51">
        <v>1.1239999999999952</v>
      </c>
      <c r="P548" s="51">
        <v>1.1239999999999952</v>
      </c>
      <c r="Q548" s="64">
        <v>1</v>
      </c>
      <c r="R548" s="76">
        <v>3.3362325581395349</v>
      </c>
      <c r="S548" s="76">
        <v>3.3362325581395349</v>
      </c>
      <c r="T548" s="66">
        <v>3.2106748322147651</v>
      </c>
      <c r="U548" s="67">
        <f t="shared" si="26"/>
        <v>3.27345369517715</v>
      </c>
      <c r="V548" s="66">
        <v>3.273393393393393</v>
      </c>
    </row>
    <row r="549" spans="1:22">
      <c r="A549" s="33" t="s">
        <v>138</v>
      </c>
      <c r="B549" s="37" t="s">
        <v>65</v>
      </c>
      <c r="C549" s="37" t="s">
        <v>21</v>
      </c>
      <c r="D549" s="58">
        <v>27</v>
      </c>
      <c r="E549" s="35">
        <v>5000</v>
      </c>
      <c r="F549" s="35">
        <v>2</v>
      </c>
      <c r="G549" s="37">
        <v>2</v>
      </c>
      <c r="H549" s="33" t="s">
        <v>197</v>
      </c>
      <c r="I549" s="33">
        <v>2</v>
      </c>
      <c r="J549" s="33">
        <v>2</v>
      </c>
      <c r="K549" s="33" t="s">
        <v>276</v>
      </c>
      <c r="L549" s="33" t="s">
        <v>155</v>
      </c>
      <c r="M549" s="48" t="s">
        <v>373</v>
      </c>
      <c r="N549" s="35">
        <v>0</v>
      </c>
      <c r="O549" s="51">
        <v>0.34000000000003183</v>
      </c>
      <c r="P549" s="51">
        <v>0.34000000000003183</v>
      </c>
      <c r="Q549" s="64">
        <v>1</v>
      </c>
      <c r="R549" s="76">
        <v>3.228321285140562</v>
      </c>
      <c r="S549" s="76">
        <v>3.228321285140562</v>
      </c>
      <c r="T549" s="66">
        <v>3.0793549682167951</v>
      </c>
      <c r="U549" s="67">
        <f t="shared" si="26"/>
        <v>3.1538381266786786</v>
      </c>
      <c r="V549" s="66">
        <v>3.1534556962025309</v>
      </c>
    </row>
    <row r="550" spans="1:22">
      <c r="A550" s="33" t="s">
        <v>138</v>
      </c>
      <c r="B550" s="37" t="s">
        <v>65</v>
      </c>
      <c r="C550" s="37" t="s">
        <v>21</v>
      </c>
      <c r="D550" s="58">
        <v>27</v>
      </c>
      <c r="E550" s="35">
        <v>5000</v>
      </c>
      <c r="F550" s="35">
        <v>2</v>
      </c>
      <c r="G550" s="37">
        <v>2</v>
      </c>
      <c r="H550" s="33" t="s">
        <v>197</v>
      </c>
      <c r="I550" s="33">
        <v>3</v>
      </c>
      <c r="J550" s="33">
        <v>3</v>
      </c>
      <c r="K550" s="33" t="s">
        <v>275</v>
      </c>
      <c r="L550" s="33" t="s">
        <v>158</v>
      </c>
      <c r="M550" s="48" t="s">
        <v>373</v>
      </c>
      <c r="N550" s="35">
        <v>0</v>
      </c>
      <c r="O550" s="51">
        <v>2.22199999999998</v>
      </c>
      <c r="P550" s="51">
        <v>2.22199999999998</v>
      </c>
      <c r="Q550" s="64">
        <v>1</v>
      </c>
      <c r="R550" s="76">
        <v>3.3175088195386699</v>
      </c>
      <c r="S550" s="76">
        <v>3.3175088195386699</v>
      </c>
      <c r="T550" s="66">
        <v>3.1584996610169491</v>
      </c>
      <c r="U550" s="67">
        <f t="shared" si="26"/>
        <v>3.2380042402778093</v>
      </c>
      <c r="V550" s="66">
        <v>3.240562604900973</v>
      </c>
    </row>
    <row r="551" spans="1:22">
      <c r="A551" s="33" t="s">
        <v>138</v>
      </c>
      <c r="B551" s="37" t="s">
        <v>65</v>
      </c>
      <c r="C551" s="37" t="s">
        <v>21</v>
      </c>
      <c r="D551" s="58">
        <v>27</v>
      </c>
      <c r="E551" s="35">
        <v>5000</v>
      </c>
      <c r="F551" s="35">
        <v>2</v>
      </c>
      <c r="G551" s="37">
        <v>2</v>
      </c>
      <c r="H551" s="33" t="s">
        <v>197</v>
      </c>
      <c r="I551" s="33">
        <v>4</v>
      </c>
      <c r="J551" s="33">
        <v>4</v>
      </c>
      <c r="K551" s="33" t="s">
        <v>276</v>
      </c>
      <c r="L551" s="33" t="s">
        <v>157</v>
      </c>
      <c r="M551" s="48" t="s">
        <v>373</v>
      </c>
      <c r="N551" s="35">
        <v>0</v>
      </c>
      <c r="O551" s="51">
        <v>2.1730000000000018</v>
      </c>
      <c r="P551" s="51">
        <v>2.1730000000000018</v>
      </c>
      <c r="Q551" s="64">
        <v>1</v>
      </c>
      <c r="R551" s="76">
        <v>3.2225423557205541</v>
      </c>
      <c r="S551" s="76">
        <v>3.2225423557205541</v>
      </c>
      <c r="T551" s="66">
        <v>3.0726633030608812</v>
      </c>
      <c r="U551" s="67">
        <f t="shared" si="26"/>
        <v>3.1476028293907179</v>
      </c>
      <c r="V551" s="66">
        <v>3.1497583444592792</v>
      </c>
    </row>
    <row r="552" spans="1:22">
      <c r="A552" s="33" t="s">
        <v>138</v>
      </c>
      <c r="B552" s="37" t="s">
        <v>65</v>
      </c>
      <c r="C552" s="37" t="s">
        <v>21</v>
      </c>
      <c r="D552" s="58">
        <v>27</v>
      </c>
      <c r="E552" s="35">
        <v>5000</v>
      </c>
      <c r="F552" s="35">
        <v>2</v>
      </c>
      <c r="G552" s="37">
        <v>2</v>
      </c>
      <c r="H552" s="33" t="s">
        <v>197</v>
      </c>
      <c r="I552" s="33">
        <v>5</v>
      </c>
      <c r="J552" s="33"/>
      <c r="K552" s="33" t="s">
        <v>276</v>
      </c>
      <c r="L552" s="33" t="s">
        <v>156</v>
      </c>
      <c r="M552" s="48" t="s">
        <v>373</v>
      </c>
      <c r="N552" s="35"/>
      <c r="O552" s="51"/>
      <c r="P552" s="51"/>
      <c r="Q552" s="64"/>
      <c r="R552" s="76">
        <v>4.6420000000000003</v>
      </c>
      <c r="S552" s="76">
        <v>4.6420000000000003</v>
      </c>
      <c r="T552" s="66">
        <v>4.21</v>
      </c>
      <c r="U552" s="67">
        <f t="shared" si="26"/>
        <v>4.4260000000000002</v>
      </c>
      <c r="V552" s="66">
        <v>4.4260000000000002</v>
      </c>
    </row>
    <row r="553" spans="1:22">
      <c r="A553" s="33" t="s">
        <v>138</v>
      </c>
      <c r="B553" s="37" t="s">
        <v>65</v>
      </c>
      <c r="C553" s="37" t="s">
        <v>21</v>
      </c>
      <c r="D553" s="58">
        <v>27</v>
      </c>
      <c r="E553" s="35">
        <v>5000</v>
      </c>
      <c r="F553" s="35">
        <v>2</v>
      </c>
      <c r="G553" s="37">
        <v>2</v>
      </c>
      <c r="H553" s="33" t="s">
        <v>197</v>
      </c>
      <c r="I553" s="33">
        <v>6</v>
      </c>
      <c r="J553" s="33">
        <v>5</v>
      </c>
      <c r="K553" s="33" t="s">
        <v>275</v>
      </c>
      <c r="L553" s="33" t="s">
        <v>153</v>
      </c>
      <c r="M553" s="48" t="s">
        <v>373</v>
      </c>
      <c r="N553" s="35">
        <v>0</v>
      </c>
      <c r="O553" s="51">
        <v>0.36799999999993815</v>
      </c>
      <c r="P553" s="51">
        <v>0.36799999999993815</v>
      </c>
      <c r="Q553" s="64">
        <v>1</v>
      </c>
      <c r="R553" s="76">
        <v>3.2570209459459458</v>
      </c>
      <c r="S553" s="76">
        <v>3.2570209459459458</v>
      </c>
      <c r="T553" s="66">
        <v>3.0963327742368332</v>
      </c>
      <c r="U553" s="67">
        <f t="shared" si="26"/>
        <v>3.1766768600913897</v>
      </c>
      <c r="V553" s="66">
        <v>3.178795128461795</v>
      </c>
    </row>
    <row r="554" spans="1:22">
      <c r="A554" s="33" t="s">
        <v>138</v>
      </c>
      <c r="B554" s="37" t="s">
        <v>65</v>
      </c>
      <c r="C554" s="37" t="s">
        <v>22</v>
      </c>
      <c r="D554" s="58">
        <v>27</v>
      </c>
      <c r="E554" s="35">
        <v>5000</v>
      </c>
      <c r="F554" s="35">
        <v>2</v>
      </c>
      <c r="G554" s="37">
        <v>3</v>
      </c>
      <c r="H554" s="33" t="s">
        <v>199</v>
      </c>
      <c r="I554" s="33">
        <v>1</v>
      </c>
      <c r="J554" s="33"/>
      <c r="K554" s="33" t="s">
        <v>276</v>
      </c>
      <c r="L554" s="33" t="s">
        <v>156</v>
      </c>
      <c r="M554" s="48" t="s">
        <v>374</v>
      </c>
      <c r="N554" s="35"/>
      <c r="O554" s="51"/>
      <c r="P554" s="51"/>
      <c r="Q554" s="64"/>
    </row>
    <row r="555" spans="1:22">
      <c r="A555" s="33" t="s">
        <v>138</v>
      </c>
      <c r="B555" s="37" t="s">
        <v>65</v>
      </c>
      <c r="C555" s="37" t="s">
        <v>22</v>
      </c>
      <c r="D555" s="58">
        <v>27</v>
      </c>
      <c r="E555" s="35">
        <v>5000</v>
      </c>
      <c r="F555" s="35">
        <v>2</v>
      </c>
      <c r="G555" s="37">
        <v>3</v>
      </c>
      <c r="H555" s="33" t="s">
        <v>199</v>
      </c>
      <c r="I555" s="33">
        <v>2</v>
      </c>
      <c r="J555" s="33">
        <v>1</v>
      </c>
      <c r="K555" s="33" t="s">
        <v>275</v>
      </c>
      <c r="L555" s="33" t="s">
        <v>157</v>
      </c>
      <c r="M555" s="48" t="s">
        <v>374</v>
      </c>
      <c r="N555" s="35">
        <v>0</v>
      </c>
      <c r="O555" s="51">
        <v>0.89800000000002456</v>
      </c>
      <c r="P555" s="51">
        <v>0.89800000000002456</v>
      </c>
      <c r="Q555" s="64">
        <v>1</v>
      </c>
      <c r="R555" s="76">
        <v>3.3421835765184942</v>
      </c>
      <c r="S555" s="76">
        <v>3.3421835765184942</v>
      </c>
      <c r="T555" s="66">
        <v>3.1962531218359769</v>
      </c>
      <c r="U555" s="67">
        <f>AVERAGE(S555:T555)</f>
        <v>3.2692183491772355</v>
      </c>
      <c r="V555" s="66">
        <v>3.2697883580080749</v>
      </c>
    </row>
    <row r="556" spans="1:22">
      <c r="A556" s="33" t="s">
        <v>138</v>
      </c>
      <c r="B556" s="37" t="s">
        <v>65</v>
      </c>
      <c r="C556" s="37" t="s">
        <v>22</v>
      </c>
      <c r="D556" s="58">
        <v>27</v>
      </c>
      <c r="E556" s="35">
        <v>5000</v>
      </c>
      <c r="F556" s="35">
        <v>2</v>
      </c>
      <c r="G556" s="37">
        <v>3</v>
      </c>
      <c r="H556" s="33" t="s">
        <v>199</v>
      </c>
      <c r="I556" s="33">
        <v>3</v>
      </c>
      <c r="J556" s="33">
        <v>2</v>
      </c>
      <c r="K556" s="33" t="s">
        <v>276</v>
      </c>
      <c r="L556" s="33" t="s">
        <v>153</v>
      </c>
      <c r="M556" s="48" t="s">
        <v>223</v>
      </c>
      <c r="N556" s="35">
        <v>0</v>
      </c>
      <c r="O556" s="51">
        <v>5.6399999999999864</v>
      </c>
      <c r="P556" s="51">
        <v>5.6399999999999864</v>
      </c>
      <c r="Q556" s="64">
        <v>1</v>
      </c>
      <c r="R556" s="76">
        <v>3.5143115840893229</v>
      </c>
      <c r="S556" s="76">
        <v>3.5143115840893229</v>
      </c>
      <c r="T556" s="66">
        <v>3.3990613854595342</v>
      </c>
      <c r="U556" s="67">
        <f>AVERAGE(S556:T556)</f>
        <v>3.4566864847744285</v>
      </c>
      <c r="V556" s="66">
        <v>3.4607853773584911</v>
      </c>
    </row>
    <row r="557" spans="1:22">
      <c r="A557" s="33" t="s">
        <v>138</v>
      </c>
      <c r="B557" s="37" t="s">
        <v>65</v>
      </c>
      <c r="C557" s="37" t="s">
        <v>22</v>
      </c>
      <c r="D557" s="58">
        <v>27</v>
      </c>
      <c r="E557" s="35">
        <v>5000</v>
      </c>
      <c r="F557" s="35">
        <v>2</v>
      </c>
      <c r="G557" s="37">
        <v>3</v>
      </c>
      <c r="H557" s="33" t="s">
        <v>199</v>
      </c>
      <c r="I557" s="33">
        <v>4</v>
      </c>
      <c r="J557" s="33">
        <v>3</v>
      </c>
      <c r="K557" s="33" t="s">
        <v>276</v>
      </c>
      <c r="L557" s="33" t="s">
        <v>158</v>
      </c>
      <c r="M557" s="48" t="s">
        <v>223</v>
      </c>
      <c r="N557" s="35"/>
      <c r="O557" s="51" t="s">
        <v>394</v>
      </c>
      <c r="P557" s="51" t="s">
        <v>394</v>
      </c>
      <c r="Q557" s="64" t="s">
        <v>274</v>
      </c>
    </row>
    <row r="558" spans="1:22">
      <c r="A558" s="33" t="s">
        <v>138</v>
      </c>
      <c r="B558" s="37" t="s">
        <v>65</v>
      </c>
      <c r="C558" s="37" t="s">
        <v>22</v>
      </c>
      <c r="D558" s="58">
        <v>27</v>
      </c>
      <c r="E558" s="35">
        <v>5000</v>
      </c>
      <c r="F558" s="35">
        <v>2</v>
      </c>
      <c r="G558" s="37">
        <v>3</v>
      </c>
      <c r="H558" s="33" t="s">
        <v>199</v>
      </c>
      <c r="I558" s="33">
        <v>5</v>
      </c>
      <c r="J558" s="33">
        <v>4</v>
      </c>
      <c r="K558" s="33" t="s">
        <v>275</v>
      </c>
      <c r="L558" s="33" t="s">
        <v>155</v>
      </c>
      <c r="M558" s="48" t="s">
        <v>223</v>
      </c>
      <c r="N558" s="35">
        <v>0</v>
      </c>
      <c r="O558" s="51">
        <v>-2.2069999999999936</v>
      </c>
      <c r="P558" s="51">
        <v>-2.2069999999999936</v>
      </c>
      <c r="Q558" s="64">
        <v>1</v>
      </c>
      <c r="R558" s="76">
        <v>3.4472489436619722</v>
      </c>
      <c r="S558" s="76">
        <v>3.4472489436619722</v>
      </c>
      <c r="T558" s="66">
        <v>3.3463612656467321</v>
      </c>
      <c r="U558" s="67">
        <f t="shared" ref="U558:U568" si="27">AVERAGE(S558:T558)</f>
        <v>3.3968051046543524</v>
      </c>
      <c r="V558" s="66">
        <v>3.399424769703173</v>
      </c>
    </row>
    <row r="559" spans="1:22">
      <c r="A559" s="33" t="s">
        <v>138</v>
      </c>
      <c r="B559" s="37" t="s">
        <v>65</v>
      </c>
      <c r="C559" s="37" t="s">
        <v>22</v>
      </c>
      <c r="D559" s="58">
        <v>27</v>
      </c>
      <c r="E559" s="35">
        <v>5000</v>
      </c>
      <c r="F559" s="35">
        <v>2</v>
      </c>
      <c r="G559" s="37">
        <v>3</v>
      </c>
      <c r="H559" s="33" t="s">
        <v>199</v>
      </c>
      <c r="I559" s="33">
        <v>6</v>
      </c>
      <c r="J559" s="33">
        <v>5</v>
      </c>
      <c r="K559" s="33" t="s">
        <v>275</v>
      </c>
      <c r="L559" s="33" t="s">
        <v>154</v>
      </c>
      <c r="M559" s="48" t="s">
        <v>223</v>
      </c>
      <c r="N559" s="35">
        <v>0</v>
      </c>
      <c r="O559" s="51">
        <v>5.6500000000000909</v>
      </c>
      <c r="P559" s="51">
        <v>5.6500000000000909</v>
      </c>
      <c r="Q559" s="64">
        <v>1</v>
      </c>
      <c r="R559" s="76">
        <v>3.4478671793079338</v>
      </c>
      <c r="S559" s="76">
        <v>3.4478671793079338</v>
      </c>
      <c r="T559" s="66">
        <v>3.313730716723549</v>
      </c>
      <c r="U559" s="67">
        <f t="shared" si="27"/>
        <v>3.3807989480157414</v>
      </c>
      <c r="V559" s="66">
        <v>3.3782243307353439</v>
      </c>
    </row>
    <row r="560" spans="1:22">
      <c r="A560" s="32" t="s">
        <v>111</v>
      </c>
      <c r="B560" s="35" t="s">
        <v>65</v>
      </c>
      <c r="C560" s="35" t="s">
        <v>14</v>
      </c>
      <c r="D560" s="58">
        <v>53</v>
      </c>
      <c r="E560" s="35">
        <v>2000</v>
      </c>
      <c r="F560" s="35">
        <v>36</v>
      </c>
      <c r="G560" s="35">
        <v>1</v>
      </c>
      <c r="H560" s="32" t="s">
        <v>197</v>
      </c>
      <c r="I560" s="32">
        <v>1</v>
      </c>
      <c r="J560" s="32">
        <v>1</v>
      </c>
      <c r="K560" s="32" t="s">
        <v>275</v>
      </c>
      <c r="L560" s="32" t="s">
        <v>154</v>
      </c>
      <c r="M560" s="42" t="s">
        <v>375</v>
      </c>
      <c r="N560" s="35">
        <v>0</v>
      </c>
      <c r="O560" s="51">
        <v>7.5819999999999936</v>
      </c>
      <c r="P560" s="51">
        <v>7.5819999999999936</v>
      </c>
      <c r="Q560" s="64">
        <v>1</v>
      </c>
      <c r="R560" s="76">
        <v>2.763723352318959</v>
      </c>
      <c r="S560" s="76">
        <v>2.763723352318959</v>
      </c>
      <c r="T560" s="66">
        <v>2.7774373493975899</v>
      </c>
      <c r="U560" s="67">
        <f t="shared" si="27"/>
        <v>2.7705803508582747</v>
      </c>
      <c r="V560" s="66">
        <v>2.7702640538400631</v>
      </c>
    </row>
    <row r="561" spans="1:22">
      <c r="A561" s="32" t="s">
        <v>111</v>
      </c>
      <c r="B561" s="35" t="s">
        <v>65</v>
      </c>
      <c r="C561" s="35" t="s">
        <v>14</v>
      </c>
      <c r="D561" s="58">
        <v>53</v>
      </c>
      <c r="E561" s="35">
        <v>2000</v>
      </c>
      <c r="F561" s="35">
        <v>36</v>
      </c>
      <c r="G561" s="35">
        <v>1</v>
      </c>
      <c r="H561" s="32" t="s">
        <v>197</v>
      </c>
      <c r="I561" s="32">
        <v>2</v>
      </c>
      <c r="J561" s="32">
        <v>2</v>
      </c>
      <c r="K561" s="32" t="s">
        <v>276</v>
      </c>
      <c r="L561" s="32" t="s">
        <v>155</v>
      </c>
      <c r="M561" s="42" t="s">
        <v>375</v>
      </c>
      <c r="N561" s="35">
        <v>0</v>
      </c>
      <c r="O561" s="51">
        <v>2.2889999999999873</v>
      </c>
      <c r="P561" s="51">
        <v>2.2889999999999873</v>
      </c>
      <c r="Q561" s="64">
        <v>1</v>
      </c>
      <c r="R561" s="76">
        <v>2.844542591844974</v>
      </c>
      <c r="S561" s="76">
        <v>2.844542591844974</v>
      </c>
      <c r="T561" s="66">
        <v>2.8283103859928369</v>
      </c>
      <c r="U561" s="67">
        <f t="shared" si="27"/>
        <v>2.8364264889189057</v>
      </c>
      <c r="V561" s="66">
        <v>2.8358233215547699</v>
      </c>
    </row>
    <row r="562" spans="1:22">
      <c r="A562" s="32" t="s">
        <v>111</v>
      </c>
      <c r="B562" s="35" t="s">
        <v>65</v>
      </c>
      <c r="C562" s="35" t="s">
        <v>14</v>
      </c>
      <c r="D562" s="58">
        <v>53</v>
      </c>
      <c r="E562" s="35">
        <v>2000</v>
      </c>
      <c r="F562" s="35">
        <v>36</v>
      </c>
      <c r="G562" s="35">
        <v>1</v>
      </c>
      <c r="H562" s="32" t="s">
        <v>197</v>
      </c>
      <c r="I562" s="32">
        <v>3</v>
      </c>
      <c r="J562" s="32">
        <v>3</v>
      </c>
      <c r="K562" s="32" t="s">
        <v>275</v>
      </c>
      <c r="L562" s="32" t="s">
        <v>158</v>
      </c>
      <c r="M562" s="42" t="s">
        <v>375</v>
      </c>
      <c r="N562" s="35">
        <v>0</v>
      </c>
      <c r="O562" s="51">
        <v>2.4410000000000309</v>
      </c>
      <c r="P562" s="51">
        <v>2.4410000000000309</v>
      </c>
      <c r="Q562" s="64">
        <v>1</v>
      </c>
      <c r="R562" s="76">
        <v>2.8708827872634979</v>
      </c>
      <c r="S562" s="76">
        <v>2.8708827872634979</v>
      </c>
      <c r="T562" s="66">
        <v>2.8442863615768008</v>
      </c>
      <c r="U562" s="67">
        <f t="shared" si="27"/>
        <v>2.8575845744201493</v>
      </c>
      <c r="V562" s="66">
        <v>2.854484458259325</v>
      </c>
    </row>
    <row r="563" spans="1:22">
      <c r="A563" s="32" t="s">
        <v>111</v>
      </c>
      <c r="B563" s="35" t="s">
        <v>65</v>
      </c>
      <c r="C563" s="35" t="s">
        <v>14</v>
      </c>
      <c r="D563" s="58">
        <v>53</v>
      </c>
      <c r="E563" s="35">
        <v>2000</v>
      </c>
      <c r="F563" s="35">
        <v>36</v>
      </c>
      <c r="G563" s="35">
        <v>1</v>
      </c>
      <c r="H563" s="32" t="s">
        <v>197</v>
      </c>
      <c r="I563" s="32">
        <v>4</v>
      </c>
      <c r="J563" s="32">
        <v>4</v>
      </c>
      <c r="K563" s="32" t="s">
        <v>276</v>
      </c>
      <c r="L563" s="32" t="s">
        <v>157</v>
      </c>
      <c r="M563" s="42" t="s">
        <v>375</v>
      </c>
      <c r="N563" s="35">
        <v>0</v>
      </c>
      <c r="O563" s="51">
        <v>3.7099999999999227</v>
      </c>
      <c r="P563" s="51">
        <v>3.7099999999999227</v>
      </c>
      <c r="Q563" s="64">
        <v>1</v>
      </c>
      <c r="R563" s="76">
        <v>2.7716905254447659</v>
      </c>
      <c r="S563" s="76">
        <v>2.7716905254447659</v>
      </c>
      <c r="T563" s="66">
        <v>2.7346983285772519</v>
      </c>
      <c r="U563" s="67">
        <f t="shared" si="27"/>
        <v>2.7531944270110089</v>
      </c>
      <c r="V563" s="66">
        <v>2.753640305098354</v>
      </c>
    </row>
    <row r="564" spans="1:22">
      <c r="A564" s="32" t="s">
        <v>111</v>
      </c>
      <c r="B564" s="35" t="s">
        <v>65</v>
      </c>
      <c r="C564" s="35" t="s">
        <v>14</v>
      </c>
      <c r="D564" s="58">
        <v>53</v>
      </c>
      <c r="E564" s="35">
        <v>2000</v>
      </c>
      <c r="F564" s="35">
        <v>36</v>
      </c>
      <c r="G564" s="35">
        <v>1</v>
      </c>
      <c r="H564" s="32" t="s">
        <v>197</v>
      </c>
      <c r="I564" s="32">
        <v>5</v>
      </c>
      <c r="K564" s="32" t="s">
        <v>276</v>
      </c>
      <c r="L564" s="32" t="s">
        <v>156</v>
      </c>
      <c r="M564" s="42" t="s">
        <v>375</v>
      </c>
      <c r="N564" s="35"/>
      <c r="O564" s="51"/>
      <c r="P564" s="51"/>
      <c r="Q564" s="64"/>
      <c r="R564" s="76">
        <v>3.3210000000000002</v>
      </c>
      <c r="S564" s="76">
        <v>3.3210000000000002</v>
      </c>
      <c r="T564" s="66">
        <v>3.2850000000000001</v>
      </c>
      <c r="U564" s="67">
        <f t="shared" si="27"/>
        <v>3.3029999999999999</v>
      </c>
      <c r="V564" s="66">
        <v>3.3029999999999999</v>
      </c>
    </row>
    <row r="565" spans="1:22">
      <c r="A565" s="32" t="s">
        <v>111</v>
      </c>
      <c r="B565" s="35" t="s">
        <v>65</v>
      </c>
      <c r="C565" s="35" t="s">
        <v>14</v>
      </c>
      <c r="D565" s="58">
        <v>53</v>
      </c>
      <c r="E565" s="35">
        <v>2000</v>
      </c>
      <c r="F565" s="35">
        <v>36</v>
      </c>
      <c r="G565" s="35">
        <v>1</v>
      </c>
      <c r="H565" s="32" t="s">
        <v>197</v>
      </c>
      <c r="I565" s="32">
        <v>6</v>
      </c>
      <c r="J565" s="32">
        <v>5</v>
      </c>
      <c r="K565" s="32" t="s">
        <v>275</v>
      </c>
      <c r="L565" s="32" t="s">
        <v>153</v>
      </c>
      <c r="M565" s="42" t="s">
        <v>375</v>
      </c>
      <c r="N565" s="35">
        <v>0</v>
      </c>
      <c r="O565" s="51">
        <v>10.527999999999793</v>
      </c>
      <c r="P565" s="51">
        <v>10.527999999999793</v>
      </c>
      <c r="Q565" s="64">
        <v>1</v>
      </c>
      <c r="R565" s="76">
        <v>2.6842098375451262</v>
      </c>
      <c r="S565" s="76">
        <v>2.6842098375451262</v>
      </c>
      <c r="T565" s="66">
        <v>2.6287078947368419</v>
      </c>
      <c r="U565" s="67">
        <f t="shared" si="27"/>
        <v>2.656458866140984</v>
      </c>
      <c r="V565" s="66">
        <v>2.6556829056111351</v>
      </c>
    </row>
    <row r="566" spans="1:22">
      <c r="A566" s="32" t="s">
        <v>111</v>
      </c>
      <c r="B566" s="35" t="s">
        <v>65</v>
      </c>
      <c r="C566" s="35" t="s">
        <v>22</v>
      </c>
      <c r="D566" s="58">
        <v>53</v>
      </c>
      <c r="E566" s="35">
        <v>2000</v>
      </c>
      <c r="F566" s="35">
        <v>36</v>
      </c>
      <c r="G566" s="35">
        <v>2</v>
      </c>
      <c r="H566" s="32" t="s">
        <v>194</v>
      </c>
      <c r="I566" s="32">
        <v>1</v>
      </c>
      <c r="J566" s="32">
        <v>1</v>
      </c>
      <c r="K566" s="32" t="s">
        <v>275</v>
      </c>
      <c r="L566" s="32" t="s">
        <v>153</v>
      </c>
      <c r="M566" s="42" t="s">
        <v>376</v>
      </c>
      <c r="N566" s="35">
        <v>0</v>
      </c>
      <c r="O566" s="51">
        <v>1.6500000000000341</v>
      </c>
      <c r="P566" s="51">
        <v>1.6500000000000341</v>
      </c>
      <c r="Q566" s="64">
        <v>1</v>
      </c>
      <c r="R566" s="76">
        <v>2.6871455047318609</v>
      </c>
      <c r="S566" s="76">
        <v>2.6871455047318609</v>
      </c>
      <c r="T566" s="66">
        <v>2.6872944379618828</v>
      </c>
      <c r="U566" s="67">
        <f t="shared" si="27"/>
        <v>2.6872199713468721</v>
      </c>
      <c r="V566" s="66">
        <v>2.687675571041424</v>
      </c>
    </row>
    <row r="567" spans="1:22">
      <c r="A567" s="32" t="s">
        <v>111</v>
      </c>
      <c r="B567" s="35" t="s">
        <v>65</v>
      </c>
      <c r="C567" s="35" t="s">
        <v>22</v>
      </c>
      <c r="D567" s="58">
        <v>53</v>
      </c>
      <c r="E567" s="35">
        <v>2000</v>
      </c>
      <c r="F567" s="35">
        <v>36</v>
      </c>
      <c r="G567" s="35">
        <v>2</v>
      </c>
      <c r="H567" s="32" t="s">
        <v>194</v>
      </c>
      <c r="I567" s="32">
        <v>2</v>
      </c>
      <c r="J567" s="32">
        <v>2</v>
      </c>
      <c r="K567" s="32" t="s">
        <v>276</v>
      </c>
      <c r="L567" s="32" t="s">
        <v>154</v>
      </c>
      <c r="M567" s="42" t="s">
        <v>376</v>
      </c>
      <c r="N567" s="35">
        <v>0</v>
      </c>
      <c r="O567" s="51">
        <v>5.7300000000000182</v>
      </c>
      <c r="P567" s="51">
        <v>5.7300000000000182</v>
      </c>
      <c r="Q567" s="64">
        <v>1</v>
      </c>
      <c r="R567" s="76">
        <v>2.5561910112359549</v>
      </c>
      <c r="S567" s="76">
        <v>2.5561910112359549</v>
      </c>
      <c r="T567" s="66">
        <v>2.534187720848057</v>
      </c>
      <c r="U567" s="67">
        <f t="shared" si="27"/>
        <v>2.5451893660420062</v>
      </c>
      <c r="V567" s="66">
        <v>2.545825021872266</v>
      </c>
    </row>
    <row r="568" spans="1:22">
      <c r="A568" s="32" t="s">
        <v>111</v>
      </c>
      <c r="B568" s="35" t="s">
        <v>65</v>
      </c>
      <c r="C568" s="35" t="s">
        <v>22</v>
      </c>
      <c r="D568" s="58">
        <v>53</v>
      </c>
      <c r="E568" s="35">
        <v>2000</v>
      </c>
      <c r="F568" s="35">
        <v>36</v>
      </c>
      <c r="G568" s="35">
        <v>2</v>
      </c>
      <c r="H568" s="32" t="s">
        <v>194</v>
      </c>
      <c r="I568" s="32">
        <v>3</v>
      </c>
      <c r="J568" s="32">
        <v>3</v>
      </c>
      <c r="K568" s="32" t="s">
        <v>276</v>
      </c>
      <c r="L568" s="32" t="s">
        <v>155</v>
      </c>
      <c r="M568" s="42" t="s">
        <v>273</v>
      </c>
      <c r="N568" s="35">
        <v>0</v>
      </c>
      <c r="O568" s="51">
        <v>1.4400000000000546</v>
      </c>
      <c r="P568" s="51">
        <v>1.4400000000000546</v>
      </c>
      <c r="Q568" s="64">
        <v>1</v>
      </c>
      <c r="R568" s="76">
        <v>2.592566232599911</v>
      </c>
      <c r="S568" s="76">
        <v>2.592566232599911</v>
      </c>
      <c r="T568" s="66">
        <v>2.562579545454545</v>
      </c>
      <c r="U568" s="67">
        <f t="shared" si="27"/>
        <v>2.5775728890272278</v>
      </c>
      <c r="V568" s="66">
        <v>2.5797364071335358</v>
      </c>
    </row>
    <row r="569" spans="1:22">
      <c r="A569" s="32" t="s">
        <v>111</v>
      </c>
      <c r="B569" s="35" t="s">
        <v>65</v>
      </c>
      <c r="C569" s="35" t="s">
        <v>22</v>
      </c>
      <c r="D569" s="58">
        <v>53</v>
      </c>
      <c r="E569" s="35">
        <v>2000</v>
      </c>
      <c r="F569" s="35">
        <v>36</v>
      </c>
      <c r="G569" s="35">
        <v>2</v>
      </c>
      <c r="H569" s="32" t="s">
        <v>194</v>
      </c>
      <c r="I569" s="32">
        <v>4</v>
      </c>
      <c r="K569" s="32" t="s">
        <v>275</v>
      </c>
      <c r="L569" s="32" t="s">
        <v>156</v>
      </c>
      <c r="M569" s="42" t="s">
        <v>273</v>
      </c>
      <c r="N569" s="35"/>
      <c r="O569" s="51"/>
      <c r="P569" s="51"/>
      <c r="Q569" s="64"/>
    </row>
    <row r="570" spans="1:22">
      <c r="A570" s="32" t="s">
        <v>111</v>
      </c>
      <c r="B570" s="35" t="s">
        <v>65</v>
      </c>
      <c r="C570" s="35" t="s">
        <v>22</v>
      </c>
      <c r="D570" s="58">
        <v>53</v>
      </c>
      <c r="E570" s="35">
        <v>2000</v>
      </c>
      <c r="F570" s="35">
        <v>36</v>
      </c>
      <c r="G570" s="35">
        <v>2</v>
      </c>
      <c r="H570" s="32" t="s">
        <v>194</v>
      </c>
      <c r="I570" s="32">
        <v>5</v>
      </c>
      <c r="J570" s="32">
        <v>4</v>
      </c>
      <c r="K570" s="32" t="s">
        <v>276</v>
      </c>
      <c r="L570" s="32" t="s">
        <v>157</v>
      </c>
      <c r="M570" s="42" t="s">
        <v>273</v>
      </c>
      <c r="N570" s="35">
        <v>0</v>
      </c>
      <c r="O570" s="51">
        <v>8.5799999999999272</v>
      </c>
      <c r="P570" s="51">
        <v>8.5799999999999272</v>
      </c>
      <c r="Q570" s="64">
        <v>1</v>
      </c>
      <c r="R570" s="76">
        <v>2.6249407713498618</v>
      </c>
      <c r="S570" s="76">
        <v>2.6249407713498618</v>
      </c>
      <c r="T570" s="66">
        <v>2.5997315647482009</v>
      </c>
      <c r="U570" s="67">
        <f t="shared" ref="U570:U599" si="28">AVERAGE(S570:T570)</f>
        <v>2.6123361680490316</v>
      </c>
      <c r="V570" s="66">
        <v>2.6137369838420108</v>
      </c>
    </row>
    <row r="571" spans="1:22">
      <c r="A571" s="32" t="s">
        <v>111</v>
      </c>
      <c r="B571" s="35" t="s">
        <v>65</v>
      </c>
      <c r="C571" s="35" t="s">
        <v>22</v>
      </c>
      <c r="D571" s="58">
        <v>53</v>
      </c>
      <c r="E571" s="35">
        <v>2000</v>
      </c>
      <c r="F571" s="35">
        <v>36</v>
      </c>
      <c r="G571" s="35">
        <v>2</v>
      </c>
      <c r="H571" s="32" t="s">
        <v>194</v>
      </c>
      <c r="I571" s="32">
        <v>6</v>
      </c>
      <c r="J571" s="32">
        <v>5</v>
      </c>
      <c r="K571" s="32" t="s">
        <v>275</v>
      </c>
      <c r="L571" s="32" t="s">
        <v>158</v>
      </c>
      <c r="M571" s="42" t="s">
        <v>273</v>
      </c>
      <c r="N571" s="35">
        <v>0</v>
      </c>
      <c r="O571" s="51">
        <v>1.0699999999999363</v>
      </c>
      <c r="P571" s="51">
        <v>1.0699999999999363</v>
      </c>
      <c r="Q571" s="64">
        <v>1</v>
      </c>
      <c r="R571" s="76">
        <v>2.5650629274965802</v>
      </c>
      <c r="S571" s="76">
        <v>2.5650629274965802</v>
      </c>
      <c r="T571" s="66">
        <v>2.540853962600178</v>
      </c>
      <c r="U571" s="67">
        <f t="shared" si="28"/>
        <v>2.5529584450483789</v>
      </c>
      <c r="V571" s="66">
        <v>2.5617721631205681</v>
      </c>
    </row>
    <row r="572" spans="1:22">
      <c r="A572" s="32" t="s">
        <v>111</v>
      </c>
      <c r="B572" s="35" t="s">
        <v>65</v>
      </c>
      <c r="C572" s="35" t="s">
        <v>21</v>
      </c>
      <c r="D572" s="58">
        <v>53</v>
      </c>
      <c r="E572" s="35">
        <v>2000</v>
      </c>
      <c r="F572" s="35">
        <v>36</v>
      </c>
      <c r="G572" s="35">
        <v>3</v>
      </c>
      <c r="H572" s="32" t="s">
        <v>199</v>
      </c>
      <c r="I572" s="32">
        <v>1</v>
      </c>
      <c r="K572" s="32" t="s">
        <v>276</v>
      </c>
      <c r="L572" s="32" t="s">
        <v>156</v>
      </c>
      <c r="M572" s="42" t="s">
        <v>377</v>
      </c>
      <c r="N572" s="35"/>
      <c r="O572" s="51"/>
      <c r="P572" s="51"/>
      <c r="Q572" s="64"/>
      <c r="R572" s="76">
        <v>3.351</v>
      </c>
      <c r="S572" s="76">
        <v>3.351</v>
      </c>
      <c r="T572" s="66">
        <v>3.4569999999999999</v>
      </c>
      <c r="U572" s="67">
        <f t="shared" si="28"/>
        <v>3.4039999999999999</v>
      </c>
      <c r="V572" s="66">
        <v>3.4039999999999999</v>
      </c>
    </row>
    <row r="573" spans="1:22">
      <c r="A573" s="32" t="s">
        <v>111</v>
      </c>
      <c r="B573" s="35" t="s">
        <v>65</v>
      </c>
      <c r="C573" s="35" t="s">
        <v>21</v>
      </c>
      <c r="D573" s="58">
        <v>53</v>
      </c>
      <c r="E573" s="35">
        <v>2000</v>
      </c>
      <c r="F573" s="35">
        <v>36</v>
      </c>
      <c r="G573" s="35">
        <v>3</v>
      </c>
      <c r="H573" s="32" t="s">
        <v>199</v>
      </c>
      <c r="I573" s="32">
        <v>2</v>
      </c>
      <c r="J573" s="32">
        <v>1</v>
      </c>
      <c r="K573" s="32" t="s">
        <v>275</v>
      </c>
      <c r="L573" s="32" t="s">
        <v>157</v>
      </c>
      <c r="M573" s="42" t="s">
        <v>377</v>
      </c>
      <c r="N573" s="35">
        <v>0</v>
      </c>
      <c r="O573" s="51">
        <v>5.4900000000000091</v>
      </c>
      <c r="P573" s="51">
        <v>5.4900000000000091</v>
      </c>
      <c r="Q573" s="64">
        <v>1</v>
      </c>
      <c r="R573" s="76">
        <v>2.6114281076066792</v>
      </c>
      <c r="S573" s="76">
        <v>2.6114281076066792</v>
      </c>
      <c r="T573" s="66">
        <v>2.5992740977615352</v>
      </c>
      <c r="U573" s="67">
        <f t="shared" si="28"/>
        <v>2.6053511026841072</v>
      </c>
      <c r="V573" s="66">
        <v>2.607232715770448</v>
      </c>
    </row>
    <row r="574" spans="1:22">
      <c r="A574" s="32" t="s">
        <v>111</v>
      </c>
      <c r="B574" s="35" t="s">
        <v>65</v>
      </c>
      <c r="C574" s="35" t="s">
        <v>21</v>
      </c>
      <c r="D574" s="58">
        <v>53</v>
      </c>
      <c r="E574" s="35">
        <v>2000</v>
      </c>
      <c r="F574" s="35">
        <v>36</v>
      </c>
      <c r="G574" s="35">
        <v>3</v>
      </c>
      <c r="H574" s="32" t="s">
        <v>199</v>
      </c>
      <c r="I574" s="32">
        <v>3</v>
      </c>
      <c r="J574" s="32">
        <v>2</v>
      </c>
      <c r="K574" s="32" t="s">
        <v>276</v>
      </c>
      <c r="L574" s="32" t="s">
        <v>153</v>
      </c>
      <c r="M574" s="42" t="s">
        <v>218</v>
      </c>
      <c r="N574" s="35">
        <v>0</v>
      </c>
      <c r="O574" s="51">
        <v>4.8900000000001</v>
      </c>
      <c r="P574" s="51">
        <v>4.8900000000001</v>
      </c>
      <c r="Q574" s="64">
        <v>1</v>
      </c>
      <c r="R574" s="76">
        <v>2.6022441373534342</v>
      </c>
      <c r="S574" s="76">
        <v>2.6022441373534342</v>
      </c>
      <c r="T574" s="66">
        <v>2.5988590163934431</v>
      </c>
      <c r="U574" s="67">
        <f t="shared" si="28"/>
        <v>2.6005515768734386</v>
      </c>
      <c r="V574" s="66">
        <v>2.6048219233903831</v>
      </c>
    </row>
    <row r="575" spans="1:22">
      <c r="A575" s="32" t="s">
        <v>111</v>
      </c>
      <c r="B575" s="35" t="s">
        <v>65</v>
      </c>
      <c r="C575" s="35" t="s">
        <v>21</v>
      </c>
      <c r="D575" s="58">
        <v>53</v>
      </c>
      <c r="E575" s="35">
        <v>2000</v>
      </c>
      <c r="F575" s="35">
        <v>36</v>
      </c>
      <c r="G575" s="35">
        <v>3</v>
      </c>
      <c r="H575" s="32" t="s">
        <v>199</v>
      </c>
      <c r="I575" s="32">
        <v>4</v>
      </c>
      <c r="J575" s="32">
        <v>3</v>
      </c>
      <c r="K575" s="32" t="s">
        <v>276</v>
      </c>
      <c r="L575" s="32" t="s">
        <v>158</v>
      </c>
      <c r="M575" s="42" t="s">
        <v>218</v>
      </c>
      <c r="N575" s="35">
        <v>0</v>
      </c>
      <c r="O575" s="51">
        <v>0.82000000000005002</v>
      </c>
      <c r="P575" s="51">
        <v>0.82000000000005002</v>
      </c>
      <c r="Q575" s="64">
        <v>1</v>
      </c>
      <c r="R575" s="76">
        <v>2.513584236864054</v>
      </c>
      <c r="S575" s="76">
        <v>2.513584236864054</v>
      </c>
      <c r="T575" s="66">
        <v>2.494711947626842</v>
      </c>
      <c r="U575" s="67">
        <f t="shared" si="28"/>
        <v>2.504148092245448</v>
      </c>
      <c r="V575" s="66">
        <v>2.5122454286875251</v>
      </c>
    </row>
    <row r="576" spans="1:22">
      <c r="A576" s="32" t="s">
        <v>111</v>
      </c>
      <c r="B576" s="35" t="s">
        <v>65</v>
      </c>
      <c r="C576" s="35" t="s">
        <v>21</v>
      </c>
      <c r="D576" s="58">
        <v>53</v>
      </c>
      <c r="E576" s="35">
        <v>2000</v>
      </c>
      <c r="F576" s="35">
        <v>36</v>
      </c>
      <c r="G576" s="35">
        <v>3</v>
      </c>
      <c r="H576" s="32" t="s">
        <v>199</v>
      </c>
      <c r="I576" s="32">
        <v>5</v>
      </c>
      <c r="J576" s="32">
        <v>4</v>
      </c>
      <c r="K576" s="32" t="s">
        <v>275</v>
      </c>
      <c r="L576" s="32" t="s">
        <v>155</v>
      </c>
      <c r="M576" s="42" t="s">
        <v>218</v>
      </c>
      <c r="N576" s="35">
        <v>0</v>
      </c>
      <c r="O576" s="51">
        <v>1.1699999999999591</v>
      </c>
      <c r="P576" s="51">
        <v>1.1699999999999591</v>
      </c>
      <c r="Q576" s="64">
        <v>1</v>
      </c>
      <c r="R576" s="76">
        <v>2.5731632488942502</v>
      </c>
      <c r="S576" s="76">
        <v>2.5731632488942502</v>
      </c>
      <c r="T576" s="66">
        <v>2.5668615686274512</v>
      </c>
      <c r="U576" s="67">
        <f t="shared" si="28"/>
        <v>2.5700124087608507</v>
      </c>
      <c r="V576" s="66">
        <v>2.5765624270711789</v>
      </c>
    </row>
    <row r="577" spans="1:22">
      <c r="A577" s="32" t="s">
        <v>111</v>
      </c>
      <c r="B577" s="35" t="s">
        <v>65</v>
      </c>
      <c r="C577" s="35" t="s">
        <v>21</v>
      </c>
      <c r="D577" s="58">
        <v>53</v>
      </c>
      <c r="E577" s="35">
        <v>2000</v>
      </c>
      <c r="F577" s="35">
        <v>36</v>
      </c>
      <c r="G577" s="35">
        <v>3</v>
      </c>
      <c r="H577" s="32" t="s">
        <v>199</v>
      </c>
      <c r="I577" s="32">
        <v>6</v>
      </c>
      <c r="J577" s="32">
        <v>5</v>
      </c>
      <c r="K577" s="32" t="s">
        <v>275</v>
      </c>
      <c r="L577" s="32" t="s">
        <v>154</v>
      </c>
      <c r="M577" s="42" t="s">
        <v>218</v>
      </c>
      <c r="N577" s="35">
        <v>0</v>
      </c>
      <c r="O577" s="51">
        <v>6.4400000000000546</v>
      </c>
      <c r="P577" s="51">
        <v>6.4400000000000546</v>
      </c>
      <c r="Q577" s="64">
        <v>1</v>
      </c>
      <c r="R577" s="76">
        <v>2.5436398163606011</v>
      </c>
      <c r="S577" s="76">
        <v>2.5436398163606011</v>
      </c>
      <c r="T577" s="66">
        <v>2.5356549755301789</v>
      </c>
      <c r="U577" s="67">
        <f t="shared" si="28"/>
        <v>2.5396473959453898</v>
      </c>
      <c r="V577" s="66">
        <v>2.541741831383622</v>
      </c>
    </row>
    <row r="578" spans="1:22">
      <c r="A578" s="33" t="s">
        <v>134</v>
      </c>
      <c r="B578" s="37" t="s">
        <v>65</v>
      </c>
      <c r="C578" s="37" t="s">
        <v>22</v>
      </c>
      <c r="D578" s="58">
        <v>27</v>
      </c>
      <c r="E578" s="35">
        <v>10000</v>
      </c>
      <c r="F578" s="35">
        <v>10</v>
      </c>
      <c r="G578" s="37">
        <v>1</v>
      </c>
      <c r="H578" s="33" t="s">
        <v>197</v>
      </c>
      <c r="I578" s="33">
        <v>1</v>
      </c>
      <c r="J578" s="33">
        <v>1</v>
      </c>
      <c r="K578" s="33" t="s">
        <v>275</v>
      </c>
      <c r="L578" s="33" t="s">
        <v>154</v>
      </c>
      <c r="M578" s="43" t="s">
        <v>378</v>
      </c>
      <c r="N578" s="35">
        <v>0</v>
      </c>
      <c r="O578" s="51">
        <v>3.2309999999999945</v>
      </c>
      <c r="P578" s="51">
        <v>3.2309999999999945</v>
      </c>
      <c r="Q578" s="64">
        <v>1</v>
      </c>
      <c r="R578" s="76">
        <v>3.2604211438474859</v>
      </c>
      <c r="S578" s="76">
        <v>3.2604211438474859</v>
      </c>
      <c r="T578" s="66">
        <v>3.183534969737726</v>
      </c>
      <c r="U578" s="67">
        <f t="shared" si="28"/>
        <v>3.2219780567926062</v>
      </c>
      <c r="V578" s="66">
        <v>3.225449516827724</v>
      </c>
    </row>
    <row r="579" spans="1:22">
      <c r="A579" s="33" t="s">
        <v>134</v>
      </c>
      <c r="B579" s="37" t="s">
        <v>65</v>
      </c>
      <c r="C579" s="37" t="s">
        <v>22</v>
      </c>
      <c r="D579" s="58">
        <v>27</v>
      </c>
      <c r="E579" s="35">
        <v>10000</v>
      </c>
      <c r="F579" s="35">
        <v>10</v>
      </c>
      <c r="G579" s="37">
        <v>1</v>
      </c>
      <c r="H579" s="33" t="s">
        <v>197</v>
      </c>
      <c r="I579" s="33">
        <v>2</v>
      </c>
      <c r="J579" s="33">
        <v>2</v>
      </c>
      <c r="K579" s="33" t="s">
        <v>276</v>
      </c>
      <c r="L579" s="33" t="s">
        <v>155</v>
      </c>
      <c r="M579" s="43" t="s">
        <v>378</v>
      </c>
      <c r="N579" s="35">
        <v>0</v>
      </c>
      <c r="O579" s="51">
        <v>1.8940000000000055</v>
      </c>
      <c r="P579" s="51">
        <v>1.8940000000000055</v>
      </c>
      <c r="Q579" s="64">
        <v>1</v>
      </c>
      <c r="R579" s="76">
        <v>3.227551175656985</v>
      </c>
      <c r="S579" s="76">
        <v>3.227551175656985</v>
      </c>
      <c r="T579" s="66">
        <v>3.1625286103542241</v>
      </c>
      <c r="U579" s="67">
        <f t="shared" si="28"/>
        <v>3.1950398930056045</v>
      </c>
      <c r="V579" s="66">
        <v>3.2039396782841831</v>
      </c>
    </row>
    <row r="580" spans="1:22">
      <c r="A580" s="33" t="s">
        <v>134</v>
      </c>
      <c r="B580" s="37" t="s">
        <v>65</v>
      </c>
      <c r="C580" s="37" t="s">
        <v>22</v>
      </c>
      <c r="D580" s="58">
        <v>27</v>
      </c>
      <c r="E580" s="35">
        <v>10000</v>
      </c>
      <c r="F580" s="35">
        <v>10</v>
      </c>
      <c r="G580" s="37">
        <v>1</v>
      </c>
      <c r="H580" s="33" t="s">
        <v>197</v>
      </c>
      <c r="I580" s="33">
        <v>3</v>
      </c>
      <c r="J580" s="33">
        <v>3</v>
      </c>
      <c r="K580" s="33" t="s">
        <v>275</v>
      </c>
      <c r="L580" s="33" t="s">
        <v>158</v>
      </c>
      <c r="M580" s="43" t="s">
        <v>378</v>
      </c>
      <c r="N580" s="35">
        <v>6.4999999999999997E-3</v>
      </c>
      <c r="O580" s="51">
        <v>-0.47000000000002728</v>
      </c>
      <c r="P580" s="51">
        <v>-0.47000000000002728</v>
      </c>
      <c r="Q580" s="64">
        <v>1</v>
      </c>
      <c r="R580" s="76">
        <v>3.1154988017802121</v>
      </c>
      <c r="S580" s="76">
        <v>3.1154988017802121</v>
      </c>
      <c r="T580" s="66">
        <v>3.0838659444820582</v>
      </c>
      <c r="U580" s="67">
        <f t="shared" si="28"/>
        <v>3.0996823731311354</v>
      </c>
      <c r="V580" s="66">
        <v>3.109965356429047</v>
      </c>
    </row>
    <row r="581" spans="1:22">
      <c r="A581" s="33" t="s">
        <v>134</v>
      </c>
      <c r="B581" s="37" t="s">
        <v>65</v>
      </c>
      <c r="C581" s="37" t="s">
        <v>22</v>
      </c>
      <c r="D581" s="58">
        <v>27</v>
      </c>
      <c r="E581" s="35">
        <v>10000</v>
      </c>
      <c r="F581" s="35">
        <v>10</v>
      </c>
      <c r="G581" s="37">
        <v>1</v>
      </c>
      <c r="H581" s="33" t="s">
        <v>197</v>
      </c>
      <c r="I581" s="33">
        <v>4</v>
      </c>
      <c r="J581" s="33">
        <v>4</v>
      </c>
      <c r="K581" s="33" t="s">
        <v>276</v>
      </c>
      <c r="L581" s="33" t="s">
        <v>157</v>
      </c>
      <c r="M581" s="43" t="s">
        <v>378</v>
      </c>
      <c r="N581" s="35">
        <v>0</v>
      </c>
      <c r="O581" s="51">
        <v>-1.1099999999999</v>
      </c>
      <c r="P581" s="51">
        <v>-1.1099999999999</v>
      </c>
      <c r="Q581" s="64">
        <v>1</v>
      </c>
      <c r="R581" s="76">
        <v>3.287230952380952</v>
      </c>
      <c r="S581" s="76">
        <v>3.287230952380952</v>
      </c>
      <c r="T581" s="66">
        <v>3.1927482136781209</v>
      </c>
      <c r="U581" s="67">
        <f t="shared" si="28"/>
        <v>3.2399895830295362</v>
      </c>
      <c r="V581" s="66">
        <v>3.2471377345844501</v>
      </c>
    </row>
    <row r="582" spans="1:22">
      <c r="A582" s="33" t="s">
        <v>134</v>
      </c>
      <c r="B582" s="37" t="s">
        <v>65</v>
      </c>
      <c r="C582" s="37" t="s">
        <v>22</v>
      </c>
      <c r="D582" s="58">
        <v>27</v>
      </c>
      <c r="E582" s="35">
        <v>10000</v>
      </c>
      <c r="F582" s="35">
        <v>10</v>
      </c>
      <c r="G582" s="37">
        <v>1</v>
      </c>
      <c r="H582" s="33" t="s">
        <v>197</v>
      </c>
      <c r="I582" s="33">
        <v>5</v>
      </c>
      <c r="J582" s="33"/>
      <c r="K582" s="33" t="s">
        <v>276</v>
      </c>
      <c r="L582" s="33" t="s">
        <v>156</v>
      </c>
      <c r="M582" s="43" t="s">
        <v>378</v>
      </c>
      <c r="N582" s="35"/>
      <c r="O582" s="51"/>
      <c r="P582" s="51"/>
      <c r="Q582" s="64"/>
      <c r="R582" s="76">
        <v>3.88</v>
      </c>
      <c r="S582" s="76">
        <v>3.88</v>
      </c>
      <c r="T582" s="66">
        <v>3.9820000000000002</v>
      </c>
      <c r="U582" s="67">
        <f t="shared" si="28"/>
        <v>3.931</v>
      </c>
      <c r="V582" s="66">
        <v>3.931</v>
      </c>
    </row>
    <row r="583" spans="1:22">
      <c r="A583" s="33" t="s">
        <v>134</v>
      </c>
      <c r="B583" s="37" t="s">
        <v>65</v>
      </c>
      <c r="C583" s="37" t="s">
        <v>22</v>
      </c>
      <c r="D583" s="58">
        <v>27</v>
      </c>
      <c r="E583" s="35">
        <v>10000</v>
      </c>
      <c r="F583" s="35">
        <v>10</v>
      </c>
      <c r="G583" s="37">
        <v>1</v>
      </c>
      <c r="H583" s="33" t="s">
        <v>197</v>
      </c>
      <c r="I583" s="33">
        <v>6</v>
      </c>
      <c r="J583" s="33">
        <v>5</v>
      </c>
      <c r="K583" s="33" t="s">
        <v>275</v>
      </c>
      <c r="L583" s="33" t="s">
        <v>153</v>
      </c>
      <c r="M583" s="43" t="s">
        <v>378</v>
      </c>
      <c r="N583" s="35">
        <v>0</v>
      </c>
      <c r="O583" s="51">
        <v>8.2400000000000091</v>
      </c>
      <c r="P583" s="51">
        <v>8.2400000000000091</v>
      </c>
      <c r="Q583" s="64">
        <v>1</v>
      </c>
      <c r="R583" s="76">
        <v>3.1147267206477731</v>
      </c>
      <c r="S583" s="76">
        <v>3.1147267206477731</v>
      </c>
      <c r="T583" s="66">
        <v>3.068449192462988</v>
      </c>
      <c r="U583" s="67">
        <f t="shared" si="28"/>
        <v>3.0915879565553803</v>
      </c>
      <c r="V583" s="66">
        <v>3.1039200532978022</v>
      </c>
    </row>
    <row r="584" spans="1:22">
      <c r="A584" s="33" t="s">
        <v>134</v>
      </c>
      <c r="B584" s="37" t="s">
        <v>65</v>
      </c>
      <c r="C584" s="37" t="s">
        <v>21</v>
      </c>
      <c r="D584" s="58">
        <v>27</v>
      </c>
      <c r="E584" s="35">
        <v>10000</v>
      </c>
      <c r="F584" s="35">
        <v>10</v>
      </c>
      <c r="G584" s="37">
        <v>2</v>
      </c>
      <c r="H584" s="33" t="s">
        <v>194</v>
      </c>
      <c r="I584" s="33">
        <v>1</v>
      </c>
      <c r="J584" s="33">
        <v>1</v>
      </c>
      <c r="K584" s="33" t="s">
        <v>275</v>
      </c>
      <c r="L584" s="33" t="s">
        <v>153</v>
      </c>
      <c r="M584" s="43" t="s">
        <v>379</v>
      </c>
      <c r="N584" s="35">
        <v>0</v>
      </c>
      <c r="O584" s="51">
        <v>7.4000000000000057</v>
      </c>
      <c r="P584" s="51">
        <v>7.4000000000000057</v>
      </c>
      <c r="Q584" s="64">
        <v>1</v>
      </c>
      <c r="R584" s="76">
        <v>3.243485229202038</v>
      </c>
      <c r="S584" s="76">
        <v>3.243485229202038</v>
      </c>
      <c r="T584" s="66">
        <v>3.184404386566142</v>
      </c>
      <c r="U584" s="67">
        <f t="shared" si="28"/>
        <v>3.21394480788409</v>
      </c>
      <c r="V584" s="66">
        <v>3.215292292292292</v>
      </c>
    </row>
    <row r="585" spans="1:22">
      <c r="A585" s="33" t="s">
        <v>134</v>
      </c>
      <c r="B585" s="37" t="s">
        <v>65</v>
      </c>
      <c r="C585" s="37" t="s">
        <v>21</v>
      </c>
      <c r="D585" s="58">
        <v>27</v>
      </c>
      <c r="E585" s="35">
        <v>10000</v>
      </c>
      <c r="F585" s="35">
        <v>10</v>
      </c>
      <c r="G585" s="37">
        <v>2</v>
      </c>
      <c r="H585" s="33" t="s">
        <v>194</v>
      </c>
      <c r="I585" s="33">
        <v>2</v>
      </c>
      <c r="J585" s="33">
        <v>2</v>
      </c>
      <c r="K585" s="33" t="s">
        <v>276</v>
      </c>
      <c r="L585" s="33" t="s">
        <v>154</v>
      </c>
      <c r="M585" s="43" t="s">
        <v>379</v>
      </c>
      <c r="N585" s="35">
        <v>0</v>
      </c>
      <c r="O585" s="51">
        <v>7.7300000000000182</v>
      </c>
      <c r="P585" s="51">
        <v>7.7300000000000182</v>
      </c>
      <c r="Q585" s="64">
        <v>1</v>
      </c>
      <c r="R585" s="76">
        <v>3.1841395428181509</v>
      </c>
      <c r="S585" s="76">
        <v>3.1841395428181509</v>
      </c>
      <c r="T585" s="66">
        <v>3.1315421853388661</v>
      </c>
      <c r="U585" s="67">
        <f t="shared" si="28"/>
        <v>3.1578408640785085</v>
      </c>
      <c r="V585" s="66">
        <v>3.1589636730575181</v>
      </c>
    </row>
    <row r="586" spans="1:22">
      <c r="A586" s="33" t="s">
        <v>134</v>
      </c>
      <c r="B586" s="37" t="s">
        <v>65</v>
      </c>
      <c r="C586" s="37" t="s">
        <v>21</v>
      </c>
      <c r="D586" s="58">
        <v>27</v>
      </c>
      <c r="E586" s="35">
        <v>10000</v>
      </c>
      <c r="F586" s="35">
        <v>10</v>
      </c>
      <c r="G586" s="37">
        <v>2</v>
      </c>
      <c r="H586" s="33" t="s">
        <v>194</v>
      </c>
      <c r="I586" s="33">
        <v>3</v>
      </c>
      <c r="J586" s="33">
        <v>3</v>
      </c>
      <c r="K586" s="33" t="s">
        <v>276</v>
      </c>
      <c r="L586" s="33" t="s">
        <v>155</v>
      </c>
      <c r="M586" s="43" t="s">
        <v>265</v>
      </c>
      <c r="N586" s="35">
        <v>0</v>
      </c>
      <c r="O586" s="51">
        <v>1.1399999999999864</v>
      </c>
      <c r="P586" s="51">
        <v>1.1399999999999864</v>
      </c>
      <c r="Q586" s="64">
        <v>1</v>
      </c>
      <c r="R586" s="76">
        <v>3.1915048814504878</v>
      </c>
      <c r="S586" s="76">
        <v>3.1915048814504878</v>
      </c>
      <c r="T586" s="66">
        <v>3.0945362819626809</v>
      </c>
      <c r="U586" s="67">
        <f t="shared" si="28"/>
        <v>3.1430205817065842</v>
      </c>
      <c r="V586" s="66">
        <v>3.1499282814614342</v>
      </c>
    </row>
    <row r="587" spans="1:22">
      <c r="A587" s="33" t="s">
        <v>134</v>
      </c>
      <c r="B587" s="37" t="s">
        <v>65</v>
      </c>
      <c r="C587" s="37" t="s">
        <v>21</v>
      </c>
      <c r="D587" s="58">
        <v>27</v>
      </c>
      <c r="E587" s="35">
        <v>10000</v>
      </c>
      <c r="F587" s="35">
        <v>10</v>
      </c>
      <c r="G587" s="37">
        <v>2</v>
      </c>
      <c r="H587" s="33" t="s">
        <v>194</v>
      </c>
      <c r="I587" s="33">
        <v>4</v>
      </c>
      <c r="J587" s="33"/>
      <c r="K587" s="33" t="s">
        <v>275</v>
      </c>
      <c r="L587" s="33" t="s">
        <v>156</v>
      </c>
      <c r="M587" s="43" t="s">
        <v>265</v>
      </c>
      <c r="N587" s="35"/>
      <c r="O587" s="51"/>
      <c r="P587" s="51"/>
      <c r="Q587" s="64"/>
      <c r="R587" s="76">
        <v>3.8170000000000002</v>
      </c>
      <c r="S587" s="76">
        <v>3.8170000000000002</v>
      </c>
      <c r="T587" s="66">
        <v>3.9350000000000001</v>
      </c>
      <c r="U587" s="67">
        <f t="shared" si="28"/>
        <v>3.8760000000000003</v>
      </c>
      <c r="V587" s="66">
        <v>3.8759999999999999</v>
      </c>
    </row>
    <row r="588" spans="1:22">
      <c r="A588" s="33" t="s">
        <v>134</v>
      </c>
      <c r="B588" s="37" t="s">
        <v>65</v>
      </c>
      <c r="C588" s="37" t="s">
        <v>21</v>
      </c>
      <c r="D588" s="58">
        <v>27</v>
      </c>
      <c r="E588" s="35">
        <v>10000</v>
      </c>
      <c r="F588" s="35">
        <v>10</v>
      </c>
      <c r="G588" s="37">
        <v>2</v>
      </c>
      <c r="H588" s="33" t="s">
        <v>194</v>
      </c>
      <c r="I588" s="33">
        <v>5</v>
      </c>
      <c r="J588" s="33">
        <v>4</v>
      </c>
      <c r="K588" s="33" t="s">
        <v>276</v>
      </c>
      <c r="L588" s="33" t="s">
        <v>157</v>
      </c>
      <c r="M588" s="43" t="s">
        <v>265</v>
      </c>
      <c r="N588" s="35">
        <v>0.38159999999999999</v>
      </c>
      <c r="O588" s="51">
        <v>8.1200000000001182</v>
      </c>
      <c r="P588" s="51">
        <v>8.1200000000001182</v>
      </c>
      <c r="Q588" s="64">
        <v>1</v>
      </c>
      <c r="R588" s="76">
        <v>3.089517492206443</v>
      </c>
      <c r="S588" s="76">
        <v>3.089517492206443</v>
      </c>
      <c r="T588" s="66">
        <v>3.0186532339993231</v>
      </c>
      <c r="U588" s="67">
        <f t="shared" si="28"/>
        <v>3.054085363102883</v>
      </c>
      <c r="V588" s="66">
        <v>3.058054478609626</v>
      </c>
    </row>
    <row r="589" spans="1:22">
      <c r="A589" s="33" t="s">
        <v>134</v>
      </c>
      <c r="B589" s="37" t="s">
        <v>65</v>
      </c>
      <c r="C589" s="37" t="s">
        <v>21</v>
      </c>
      <c r="D589" s="58">
        <v>27</v>
      </c>
      <c r="E589" s="35">
        <v>10000</v>
      </c>
      <c r="F589" s="35">
        <v>10</v>
      </c>
      <c r="G589" s="37">
        <v>2</v>
      </c>
      <c r="H589" s="33" t="s">
        <v>194</v>
      </c>
      <c r="I589" s="33">
        <v>6</v>
      </c>
      <c r="J589" s="33">
        <v>5</v>
      </c>
      <c r="K589" s="33" t="s">
        <v>275</v>
      </c>
      <c r="L589" s="33" t="s">
        <v>158</v>
      </c>
      <c r="M589" s="43" t="s">
        <v>265</v>
      </c>
      <c r="N589" s="35">
        <v>0.32200000000000001</v>
      </c>
      <c r="O589" s="51">
        <v>2.2199999999997999</v>
      </c>
      <c r="P589" s="51">
        <v>2.2199999999997999</v>
      </c>
      <c r="Q589" s="64">
        <v>1</v>
      </c>
      <c r="R589" s="76">
        <v>3.100573208722742</v>
      </c>
      <c r="S589" s="76">
        <v>3.100573208722742</v>
      </c>
      <c r="T589" s="66">
        <v>3.0316702997275211</v>
      </c>
      <c r="U589" s="67">
        <f t="shared" si="28"/>
        <v>3.0661217542251316</v>
      </c>
      <c r="V589" s="66">
        <v>3.0683941018766761</v>
      </c>
    </row>
    <row r="590" spans="1:22">
      <c r="A590" s="33" t="s">
        <v>134</v>
      </c>
      <c r="B590" s="37" t="s">
        <v>65</v>
      </c>
      <c r="C590" s="37" t="s">
        <v>14</v>
      </c>
      <c r="D590" s="58">
        <v>27</v>
      </c>
      <c r="E590" s="35">
        <v>10000</v>
      </c>
      <c r="F590" s="35">
        <v>10</v>
      </c>
      <c r="G590" s="37">
        <v>3</v>
      </c>
      <c r="H590" s="33" t="s">
        <v>199</v>
      </c>
      <c r="I590" s="33">
        <v>1</v>
      </c>
      <c r="J590" s="33"/>
      <c r="K590" s="33" t="s">
        <v>276</v>
      </c>
      <c r="L590" s="33" t="s">
        <v>156</v>
      </c>
      <c r="M590" s="43" t="s">
        <v>380</v>
      </c>
      <c r="N590" s="35"/>
      <c r="O590" s="51"/>
      <c r="P590" s="51"/>
      <c r="Q590" s="64"/>
      <c r="R590" s="76">
        <v>3.972</v>
      </c>
      <c r="S590" s="76">
        <v>3.972</v>
      </c>
      <c r="T590" s="66">
        <v>4.0880000000000001</v>
      </c>
      <c r="U590" s="67">
        <f t="shared" si="28"/>
        <v>4.03</v>
      </c>
      <c r="V590" s="66">
        <v>4.03</v>
      </c>
    </row>
    <row r="591" spans="1:22">
      <c r="A591" s="33" t="s">
        <v>134</v>
      </c>
      <c r="B591" s="37" t="s">
        <v>65</v>
      </c>
      <c r="C591" s="37" t="s">
        <v>14</v>
      </c>
      <c r="D591" s="58">
        <v>27</v>
      </c>
      <c r="E591" s="35">
        <v>10000</v>
      </c>
      <c r="F591" s="35">
        <v>10</v>
      </c>
      <c r="G591" s="37">
        <v>3</v>
      </c>
      <c r="H591" s="33" t="s">
        <v>199</v>
      </c>
      <c r="I591" s="33">
        <v>2</v>
      </c>
      <c r="J591" s="33">
        <v>1</v>
      </c>
      <c r="K591" s="33" t="s">
        <v>275</v>
      </c>
      <c r="L591" s="33" t="s">
        <v>157</v>
      </c>
      <c r="M591" s="43" t="s">
        <v>380</v>
      </c>
      <c r="N591" s="35">
        <v>0</v>
      </c>
      <c r="O591" s="51">
        <v>2.1000000000000227</v>
      </c>
      <c r="P591" s="51">
        <v>2.1000000000000227</v>
      </c>
      <c r="Q591" s="64">
        <v>1</v>
      </c>
      <c r="R591" s="76">
        <v>3.3614367541766108</v>
      </c>
      <c r="S591" s="76">
        <v>3.3614367541766108</v>
      </c>
      <c r="T591" s="66">
        <v>3.3216907917091412</v>
      </c>
      <c r="U591" s="67">
        <f t="shared" si="28"/>
        <v>3.3415637729428758</v>
      </c>
      <c r="V591" s="66">
        <v>3.347493004663558</v>
      </c>
    </row>
    <row r="592" spans="1:22">
      <c r="A592" s="33" t="s">
        <v>134</v>
      </c>
      <c r="B592" s="37" t="s">
        <v>65</v>
      </c>
      <c r="C592" s="37" t="s">
        <v>14</v>
      </c>
      <c r="D592" s="58">
        <v>27</v>
      </c>
      <c r="E592" s="35">
        <v>10000</v>
      </c>
      <c r="F592" s="35">
        <v>10</v>
      </c>
      <c r="G592" s="37">
        <v>3</v>
      </c>
      <c r="H592" s="33" t="s">
        <v>199</v>
      </c>
      <c r="I592" s="33">
        <v>3</v>
      </c>
      <c r="J592" s="33">
        <v>2</v>
      </c>
      <c r="K592" s="33" t="s">
        <v>276</v>
      </c>
      <c r="L592" s="33" t="s">
        <v>153</v>
      </c>
      <c r="M592" s="43" t="s">
        <v>266</v>
      </c>
      <c r="N592" s="35">
        <v>2.9999999999999997E-4</v>
      </c>
      <c r="O592" s="51">
        <v>4.9200000000000728</v>
      </c>
      <c r="P592" s="51">
        <v>4.9200000000000728</v>
      </c>
      <c r="Q592" s="64">
        <v>1</v>
      </c>
      <c r="R592" s="76">
        <v>3.294513028764805</v>
      </c>
      <c r="S592" s="76">
        <v>3.294513028764805</v>
      </c>
      <c r="T592" s="66">
        <v>3.2543464807888469</v>
      </c>
      <c r="U592" s="67">
        <f t="shared" si="28"/>
        <v>3.274429754776826</v>
      </c>
      <c r="V592" s="66">
        <v>3.276213191205863</v>
      </c>
    </row>
    <row r="593" spans="1:22">
      <c r="A593" s="33" t="s">
        <v>134</v>
      </c>
      <c r="B593" s="37" t="s">
        <v>65</v>
      </c>
      <c r="C593" s="37" t="s">
        <v>14</v>
      </c>
      <c r="D593" s="58">
        <v>27</v>
      </c>
      <c r="E593" s="35">
        <v>10000</v>
      </c>
      <c r="F593" s="35">
        <v>10</v>
      </c>
      <c r="G593" s="37">
        <v>3</v>
      </c>
      <c r="H593" s="33" t="s">
        <v>199</v>
      </c>
      <c r="I593" s="33">
        <v>4</v>
      </c>
      <c r="J593" s="33">
        <v>3</v>
      </c>
      <c r="K593" s="33" t="s">
        <v>276</v>
      </c>
      <c r="L593" s="33" t="s">
        <v>158</v>
      </c>
      <c r="M593" s="43" t="s">
        <v>266</v>
      </c>
      <c r="N593" s="35">
        <v>6.9999999999999999E-4</v>
      </c>
      <c r="O593" s="51">
        <v>1.0400000000000773</v>
      </c>
      <c r="P593" s="51">
        <v>1.0400000000000773</v>
      </c>
      <c r="Q593" s="64">
        <v>1</v>
      </c>
      <c r="R593" s="76">
        <v>3.1955688259109309</v>
      </c>
      <c r="S593" s="76">
        <v>3.1955688259109309</v>
      </c>
      <c r="T593" s="66">
        <v>3.1508195055875379</v>
      </c>
      <c r="U593" s="67">
        <f t="shared" si="28"/>
        <v>3.1731941657492344</v>
      </c>
      <c r="V593" s="66">
        <v>3.1763442513368978</v>
      </c>
    </row>
    <row r="594" spans="1:22">
      <c r="A594" s="33" t="s">
        <v>134</v>
      </c>
      <c r="B594" s="37" t="s">
        <v>65</v>
      </c>
      <c r="C594" s="37" t="s">
        <v>14</v>
      </c>
      <c r="D594" s="58">
        <v>27</v>
      </c>
      <c r="E594" s="35">
        <v>10000</v>
      </c>
      <c r="F594" s="35">
        <v>10</v>
      </c>
      <c r="G594" s="37">
        <v>3</v>
      </c>
      <c r="H594" s="33" t="s">
        <v>199</v>
      </c>
      <c r="I594" s="33">
        <v>5</v>
      </c>
      <c r="J594" s="33">
        <v>4</v>
      </c>
      <c r="K594" s="33" t="s">
        <v>275</v>
      </c>
      <c r="L594" s="33" t="s">
        <v>155</v>
      </c>
      <c r="M594" s="43" t="s">
        <v>266</v>
      </c>
      <c r="N594" s="35">
        <v>0</v>
      </c>
      <c r="O594" s="51">
        <v>3.3300000000000409</v>
      </c>
      <c r="P594" s="51">
        <v>3.3300000000000409</v>
      </c>
      <c r="Q594" s="64">
        <v>1</v>
      </c>
      <c r="R594" s="76">
        <v>3.357351633546648</v>
      </c>
      <c r="S594" s="76">
        <v>3.357351633546648</v>
      </c>
      <c r="T594" s="66">
        <v>3.2924076454668469</v>
      </c>
      <c r="U594" s="67">
        <f t="shared" si="28"/>
        <v>3.3248796395067473</v>
      </c>
      <c r="V594" s="66">
        <v>3.333463024650233</v>
      </c>
    </row>
    <row r="595" spans="1:22">
      <c r="A595" s="33" t="s">
        <v>134</v>
      </c>
      <c r="B595" s="37" t="s">
        <v>65</v>
      </c>
      <c r="C595" s="37" t="s">
        <v>14</v>
      </c>
      <c r="D595" s="58">
        <v>27</v>
      </c>
      <c r="E595" s="35">
        <v>10000</v>
      </c>
      <c r="F595" s="35">
        <v>10</v>
      </c>
      <c r="G595" s="37">
        <v>3</v>
      </c>
      <c r="H595" s="33" t="s">
        <v>199</v>
      </c>
      <c r="I595" s="33">
        <v>6</v>
      </c>
      <c r="J595" s="33">
        <v>5</v>
      </c>
      <c r="K595" s="33" t="s">
        <v>275</v>
      </c>
      <c r="L595" s="33" t="s">
        <v>154</v>
      </c>
      <c r="M595" s="43" t="s">
        <v>266</v>
      </c>
      <c r="N595" s="35">
        <v>3.3999999999999998E-3</v>
      </c>
      <c r="O595" s="51">
        <v>4.8699999999998909</v>
      </c>
      <c r="P595" s="51">
        <v>4.8699999999998909</v>
      </c>
      <c r="Q595" s="64">
        <v>1</v>
      </c>
      <c r="R595" s="76">
        <v>3.3238224772190348</v>
      </c>
      <c r="S595" s="76">
        <v>3.3238224772190348</v>
      </c>
      <c r="T595" s="66">
        <v>3.2917783857729139</v>
      </c>
      <c r="U595" s="67">
        <f t="shared" si="28"/>
        <v>3.3078004314959744</v>
      </c>
      <c r="V595" s="66">
        <v>3.3191152304609219</v>
      </c>
    </row>
    <row r="596" spans="1:22">
      <c r="A596" s="32" t="s">
        <v>103</v>
      </c>
      <c r="B596" s="35" t="s">
        <v>82</v>
      </c>
      <c r="C596" s="35" t="s">
        <v>14</v>
      </c>
      <c r="D596" s="69">
        <v>47</v>
      </c>
      <c r="E596" s="35">
        <v>5000</v>
      </c>
      <c r="F596" s="35">
        <v>5</v>
      </c>
      <c r="G596" s="35">
        <v>1</v>
      </c>
      <c r="H596" s="32" t="s">
        <v>197</v>
      </c>
      <c r="I596" s="32">
        <v>1</v>
      </c>
      <c r="J596" s="32">
        <v>1</v>
      </c>
      <c r="K596" s="32" t="s">
        <v>275</v>
      </c>
      <c r="L596" s="32" t="s">
        <v>154</v>
      </c>
      <c r="M596" s="46" t="s">
        <v>333</v>
      </c>
      <c r="N596" s="35">
        <v>0</v>
      </c>
      <c r="O596" s="51" t="s">
        <v>394</v>
      </c>
      <c r="P596" s="51" t="s">
        <v>394</v>
      </c>
      <c r="Q596" s="64" t="s">
        <v>274</v>
      </c>
      <c r="R596" s="76">
        <v>2.9459085342518181</v>
      </c>
      <c r="S596" s="76">
        <v>2.9459085342518181</v>
      </c>
      <c r="T596" s="66">
        <v>2.9379081343585591</v>
      </c>
      <c r="U596" s="67">
        <f t="shared" si="28"/>
        <v>2.9419083343051886</v>
      </c>
      <c r="V596" s="66">
        <v>2.9334777368597251</v>
      </c>
    </row>
    <row r="597" spans="1:22">
      <c r="A597" s="35" t="s">
        <v>103</v>
      </c>
      <c r="B597" s="35" t="s">
        <v>82</v>
      </c>
      <c r="C597" s="35" t="s">
        <v>14</v>
      </c>
      <c r="D597" s="69">
        <v>47</v>
      </c>
      <c r="E597" s="35">
        <v>5000</v>
      </c>
      <c r="F597" s="35">
        <v>5</v>
      </c>
      <c r="G597" s="35">
        <v>1</v>
      </c>
      <c r="H597" s="35" t="s">
        <v>197</v>
      </c>
      <c r="I597" s="35">
        <v>2</v>
      </c>
      <c r="J597" s="35">
        <v>2</v>
      </c>
      <c r="K597" s="35" t="s">
        <v>276</v>
      </c>
      <c r="L597" s="35" t="s">
        <v>155</v>
      </c>
      <c r="M597" s="47" t="s">
        <v>333</v>
      </c>
      <c r="N597" s="35">
        <v>0</v>
      </c>
      <c r="O597" s="51">
        <v>0.48400000000003729</v>
      </c>
      <c r="P597" s="51">
        <v>0.48400000000003729</v>
      </c>
      <c r="Q597" s="64">
        <v>1</v>
      </c>
      <c r="R597" s="76">
        <v>2.9389791970802919</v>
      </c>
      <c r="S597" s="76">
        <v>2.9389791970802919</v>
      </c>
      <c r="T597" s="66">
        <v>2.9028425760286218</v>
      </c>
      <c r="U597" s="67">
        <f t="shared" si="28"/>
        <v>2.9209108865544566</v>
      </c>
      <c r="V597" s="66">
        <v>2.9200946944257891</v>
      </c>
    </row>
    <row r="598" spans="1:22">
      <c r="A598" s="35" t="s">
        <v>103</v>
      </c>
      <c r="B598" s="35" t="s">
        <v>82</v>
      </c>
      <c r="C598" s="35" t="s">
        <v>14</v>
      </c>
      <c r="D598" s="69">
        <v>47</v>
      </c>
      <c r="E598" s="35">
        <v>5000</v>
      </c>
      <c r="F598" s="35">
        <v>5</v>
      </c>
      <c r="G598" s="35">
        <v>1</v>
      </c>
      <c r="H598" s="35" t="s">
        <v>197</v>
      </c>
      <c r="I598" s="35">
        <v>3</v>
      </c>
      <c r="J598" s="35">
        <v>3</v>
      </c>
      <c r="K598" s="35" t="s">
        <v>275</v>
      </c>
      <c r="L598" s="35" t="s">
        <v>158</v>
      </c>
      <c r="M598" s="47" t="s">
        <v>333</v>
      </c>
      <c r="N598" s="35">
        <v>0</v>
      </c>
      <c r="O598" s="51">
        <v>2.6499999999999773</v>
      </c>
      <c r="P598" s="51">
        <v>2.6499999999999773</v>
      </c>
      <c r="Q598" s="64">
        <v>1</v>
      </c>
      <c r="R598" s="76">
        <v>2.944015821646889</v>
      </c>
      <c r="S598" s="76">
        <v>2.944015821646889</v>
      </c>
      <c r="T598" s="66">
        <v>2.9377728852838931</v>
      </c>
      <c r="U598" s="67">
        <f t="shared" si="28"/>
        <v>2.9408943534653913</v>
      </c>
      <c r="V598" s="66">
        <v>2.938072733423545</v>
      </c>
    </row>
    <row r="599" spans="1:22">
      <c r="A599" s="35" t="s">
        <v>103</v>
      </c>
      <c r="B599" s="35" t="s">
        <v>82</v>
      </c>
      <c r="C599" s="35" t="s">
        <v>14</v>
      </c>
      <c r="D599" s="69">
        <v>47</v>
      </c>
      <c r="E599" s="35">
        <v>5000</v>
      </c>
      <c r="F599" s="35">
        <v>5</v>
      </c>
      <c r="G599" s="35">
        <v>1</v>
      </c>
      <c r="H599" s="35" t="s">
        <v>197</v>
      </c>
      <c r="I599" s="35">
        <v>4</v>
      </c>
      <c r="J599" s="35">
        <v>4</v>
      </c>
      <c r="K599" s="35" t="s">
        <v>276</v>
      </c>
      <c r="L599" s="35" t="s">
        <v>157</v>
      </c>
      <c r="M599" s="47" t="s">
        <v>333</v>
      </c>
      <c r="N599" s="35">
        <v>0</v>
      </c>
      <c r="O599" s="51" t="s">
        <v>394</v>
      </c>
      <c r="P599" s="51" t="s">
        <v>394</v>
      </c>
      <c r="Q599" s="64" t="s">
        <v>274</v>
      </c>
      <c r="R599" s="76">
        <v>2.9235160951714478</v>
      </c>
      <c r="S599" s="76">
        <v>2.9235160951714478</v>
      </c>
      <c r="T599" s="66">
        <v>2.9246789373814042</v>
      </c>
      <c r="U599" s="67">
        <f t="shared" si="28"/>
        <v>2.9240975162764258</v>
      </c>
      <c r="V599" s="66">
        <v>2.9215412844036699</v>
      </c>
    </row>
    <row r="600" spans="1:22">
      <c r="A600" s="35" t="s">
        <v>103</v>
      </c>
      <c r="B600" s="35" t="s">
        <v>82</v>
      </c>
      <c r="C600" s="35" t="s">
        <v>14</v>
      </c>
      <c r="D600" s="69">
        <v>47</v>
      </c>
      <c r="E600" s="35">
        <v>5000</v>
      </c>
      <c r="F600" s="35">
        <v>5</v>
      </c>
      <c r="G600" s="35">
        <v>1</v>
      </c>
      <c r="H600" s="35" t="s">
        <v>197</v>
      </c>
      <c r="I600" s="35">
        <v>5</v>
      </c>
      <c r="J600" s="35"/>
      <c r="K600" s="35" t="s">
        <v>276</v>
      </c>
      <c r="L600" s="35" t="s">
        <v>156</v>
      </c>
      <c r="M600" s="47" t="s">
        <v>333</v>
      </c>
      <c r="N600" s="35"/>
      <c r="O600" s="51"/>
      <c r="P600" s="51"/>
      <c r="Q600" s="64"/>
    </row>
    <row r="601" spans="1:22">
      <c r="A601" s="32" t="s">
        <v>103</v>
      </c>
      <c r="B601" s="35" t="s">
        <v>82</v>
      </c>
      <c r="C601" s="35" t="s">
        <v>14</v>
      </c>
      <c r="D601" s="69">
        <v>47</v>
      </c>
      <c r="E601" s="35">
        <v>5000</v>
      </c>
      <c r="F601" s="35">
        <v>5</v>
      </c>
      <c r="G601" s="35">
        <v>1</v>
      </c>
      <c r="H601" s="32" t="s">
        <v>197</v>
      </c>
      <c r="I601" s="32">
        <v>6</v>
      </c>
      <c r="J601" s="32">
        <v>5</v>
      </c>
      <c r="K601" s="32" t="s">
        <v>275</v>
      </c>
      <c r="L601" s="32" t="s">
        <v>153</v>
      </c>
      <c r="M601" s="46" t="s">
        <v>333</v>
      </c>
      <c r="N601" s="35"/>
      <c r="O601" s="51" t="s">
        <v>394</v>
      </c>
      <c r="P601" s="51" t="s">
        <v>394</v>
      </c>
      <c r="Q601" s="64" t="s">
        <v>274</v>
      </c>
    </row>
    <row r="602" spans="1:22">
      <c r="A602" s="32" t="s">
        <v>103</v>
      </c>
      <c r="B602" s="35" t="s">
        <v>82</v>
      </c>
      <c r="C602" s="35" t="s">
        <v>21</v>
      </c>
      <c r="D602" s="69">
        <v>47</v>
      </c>
      <c r="E602" s="35">
        <v>5000</v>
      </c>
      <c r="F602" s="35">
        <v>5</v>
      </c>
      <c r="G602" s="35">
        <v>2</v>
      </c>
      <c r="H602" s="32" t="s">
        <v>194</v>
      </c>
      <c r="I602" s="32">
        <v>1</v>
      </c>
      <c r="J602" s="32">
        <v>1</v>
      </c>
      <c r="K602" s="32" t="s">
        <v>275</v>
      </c>
      <c r="L602" s="32" t="s">
        <v>153</v>
      </c>
      <c r="M602" s="47" t="s">
        <v>334</v>
      </c>
      <c r="N602" s="35">
        <v>0</v>
      </c>
      <c r="O602" s="51">
        <v>2.5500000000000114</v>
      </c>
      <c r="P602" s="51">
        <v>2.5500000000000114</v>
      </c>
      <c r="Q602" s="64">
        <v>1</v>
      </c>
      <c r="R602" s="76">
        <v>3.0835705073086839</v>
      </c>
      <c r="S602" s="76">
        <v>3.0835705073086839</v>
      </c>
      <c r="T602" s="66">
        <v>2.9953627373417722</v>
      </c>
      <c r="U602" s="67">
        <f t="shared" ref="U602:U641" si="29">AVERAGE(S602:T602)</f>
        <v>3.0394666223252278</v>
      </c>
      <c r="V602" s="66">
        <v>3.03406089405139</v>
      </c>
    </row>
    <row r="603" spans="1:22">
      <c r="A603" s="32" t="s">
        <v>103</v>
      </c>
      <c r="B603" s="35" t="s">
        <v>82</v>
      </c>
      <c r="C603" s="35" t="s">
        <v>21</v>
      </c>
      <c r="D603" s="69">
        <v>47</v>
      </c>
      <c r="E603" s="35">
        <v>5000</v>
      </c>
      <c r="F603" s="35">
        <v>5</v>
      </c>
      <c r="G603" s="35">
        <v>2</v>
      </c>
      <c r="H603" s="32" t="s">
        <v>194</v>
      </c>
      <c r="I603" s="32">
        <v>2</v>
      </c>
      <c r="J603" s="32">
        <v>2</v>
      </c>
      <c r="K603" s="32" t="s">
        <v>276</v>
      </c>
      <c r="L603" s="32" t="s">
        <v>154</v>
      </c>
      <c r="M603" s="47" t="s">
        <v>334</v>
      </c>
      <c r="N603" s="35">
        <v>1.8700000000000001E-2</v>
      </c>
      <c r="O603" s="51">
        <v>5.1700000000000728</v>
      </c>
      <c r="P603" s="51">
        <v>5.1700000000000728</v>
      </c>
      <c r="Q603" s="64">
        <v>1</v>
      </c>
      <c r="R603" s="76">
        <v>2.93023516766982</v>
      </c>
      <c r="S603" s="76">
        <v>2.93023516766982</v>
      </c>
      <c r="T603" s="66">
        <v>2.8894187741105868</v>
      </c>
      <c r="U603" s="67">
        <f t="shared" si="29"/>
        <v>2.9098269708902036</v>
      </c>
      <c r="V603" s="66">
        <v>2.9083547576301609</v>
      </c>
    </row>
    <row r="604" spans="1:22">
      <c r="A604" s="32" t="s">
        <v>103</v>
      </c>
      <c r="B604" s="35" t="s">
        <v>82</v>
      </c>
      <c r="C604" s="35" t="s">
        <v>21</v>
      </c>
      <c r="D604" s="69">
        <v>47</v>
      </c>
      <c r="E604" s="35">
        <v>5000</v>
      </c>
      <c r="F604" s="35">
        <v>5</v>
      </c>
      <c r="G604" s="35">
        <v>2</v>
      </c>
      <c r="H604" s="32" t="s">
        <v>194</v>
      </c>
      <c r="I604" s="32">
        <v>3</v>
      </c>
      <c r="J604" s="32">
        <v>3</v>
      </c>
      <c r="K604" s="32" t="s">
        <v>276</v>
      </c>
      <c r="L604" s="32" t="s">
        <v>155</v>
      </c>
      <c r="M604" s="47" t="s">
        <v>224</v>
      </c>
      <c r="N604" s="35">
        <v>8.8000000000000005E-3</v>
      </c>
      <c r="O604" s="51">
        <v>0.23000000000001819</v>
      </c>
      <c r="P604" s="51">
        <v>0.23000000000001819</v>
      </c>
      <c r="Q604" s="64">
        <v>1</v>
      </c>
      <c r="R604" s="76">
        <v>3.058350541215654</v>
      </c>
      <c r="S604" s="76">
        <v>3.058350541215654</v>
      </c>
      <c r="T604" s="66">
        <v>3.0252759702077618</v>
      </c>
      <c r="U604" s="67">
        <f t="shared" si="29"/>
        <v>3.0418132557117081</v>
      </c>
      <c r="V604" s="66">
        <v>3.0459868747782899</v>
      </c>
    </row>
    <row r="605" spans="1:22">
      <c r="A605" s="32" t="s">
        <v>103</v>
      </c>
      <c r="B605" s="35" t="s">
        <v>82</v>
      </c>
      <c r="C605" s="35" t="s">
        <v>21</v>
      </c>
      <c r="D605" s="69">
        <v>47</v>
      </c>
      <c r="E605" s="35">
        <v>5000</v>
      </c>
      <c r="F605" s="35">
        <v>5</v>
      </c>
      <c r="G605" s="35">
        <v>2</v>
      </c>
      <c r="H605" s="32" t="s">
        <v>194</v>
      </c>
      <c r="I605" s="32">
        <v>4</v>
      </c>
      <c r="K605" s="32" t="s">
        <v>275</v>
      </c>
      <c r="L605" s="32" t="s">
        <v>156</v>
      </c>
      <c r="M605" s="46" t="s">
        <v>224</v>
      </c>
      <c r="N605" s="35"/>
      <c r="O605" s="51"/>
      <c r="P605" s="51"/>
      <c r="Q605" s="64"/>
      <c r="R605" s="76">
        <v>3.0840000000000001</v>
      </c>
      <c r="S605" s="76">
        <v>3.0840000000000001</v>
      </c>
      <c r="T605" s="66">
        <v>3.08</v>
      </c>
      <c r="U605" s="67">
        <f t="shared" si="29"/>
        <v>3.0819999999999999</v>
      </c>
      <c r="V605" s="66">
        <v>3.0819999999999999</v>
      </c>
    </row>
    <row r="606" spans="1:22">
      <c r="A606" s="32" t="s">
        <v>103</v>
      </c>
      <c r="B606" s="35" t="s">
        <v>82</v>
      </c>
      <c r="C606" s="35" t="s">
        <v>21</v>
      </c>
      <c r="D606" s="69">
        <v>47</v>
      </c>
      <c r="E606" s="35">
        <v>5000</v>
      </c>
      <c r="F606" s="35">
        <v>5</v>
      </c>
      <c r="G606" s="35">
        <v>2</v>
      </c>
      <c r="H606" s="32" t="s">
        <v>194</v>
      </c>
      <c r="I606" s="32">
        <v>5</v>
      </c>
      <c r="J606" s="32">
        <v>4</v>
      </c>
      <c r="K606" s="32" t="s">
        <v>276</v>
      </c>
      <c r="L606" s="32" t="s">
        <v>157</v>
      </c>
      <c r="M606" s="47" t="s">
        <v>224</v>
      </c>
      <c r="N606" s="35">
        <v>0</v>
      </c>
      <c r="O606" s="51">
        <v>8.418999999999869</v>
      </c>
      <c r="P606" s="51">
        <v>8.418999999999869</v>
      </c>
      <c r="Q606" s="64">
        <v>1</v>
      </c>
      <c r="R606" s="76">
        <v>3.0511405258386222</v>
      </c>
      <c r="S606" s="76">
        <v>3.0511405258386222</v>
      </c>
      <c r="T606" s="66">
        <v>2.9663544303797469</v>
      </c>
      <c r="U606" s="67">
        <f t="shared" si="29"/>
        <v>3.0087474781091847</v>
      </c>
      <c r="V606" s="66">
        <v>3.006664909638554</v>
      </c>
    </row>
    <row r="607" spans="1:22">
      <c r="A607" s="32" t="s">
        <v>103</v>
      </c>
      <c r="B607" s="35" t="s">
        <v>82</v>
      </c>
      <c r="C607" s="35" t="s">
        <v>21</v>
      </c>
      <c r="D607" s="69">
        <v>47</v>
      </c>
      <c r="E607" s="35">
        <v>5000</v>
      </c>
      <c r="F607" s="35">
        <v>5</v>
      </c>
      <c r="G607" s="35">
        <v>2</v>
      </c>
      <c r="H607" s="32" t="s">
        <v>194</v>
      </c>
      <c r="I607" s="32">
        <v>6</v>
      </c>
      <c r="J607" s="32">
        <v>5</v>
      </c>
      <c r="K607" s="32" t="s">
        <v>275</v>
      </c>
      <c r="L607" s="32" t="s">
        <v>158</v>
      </c>
      <c r="M607" s="46" t="s">
        <v>224</v>
      </c>
      <c r="N607" s="35">
        <v>0</v>
      </c>
      <c r="O607" s="51">
        <v>3.43100000000004</v>
      </c>
      <c r="P607" s="51">
        <v>3.43100000000004</v>
      </c>
      <c r="Q607" s="64">
        <v>1</v>
      </c>
      <c r="R607" s="76">
        <v>2.882664507772021</v>
      </c>
      <c r="S607" s="76">
        <v>2.882664507772021</v>
      </c>
      <c r="T607" s="66">
        <v>2.835528542914171</v>
      </c>
      <c r="U607" s="67">
        <f t="shared" si="29"/>
        <v>2.8590965253430962</v>
      </c>
      <c r="V607" s="66">
        <v>2.8617817296892549</v>
      </c>
    </row>
    <row r="608" spans="1:22">
      <c r="A608" s="32" t="s">
        <v>103</v>
      </c>
      <c r="B608" s="35" t="s">
        <v>82</v>
      </c>
      <c r="C608" s="35" t="s">
        <v>22</v>
      </c>
      <c r="D608" s="69">
        <v>47</v>
      </c>
      <c r="E608" s="35">
        <v>5000</v>
      </c>
      <c r="F608" s="35">
        <v>5</v>
      </c>
      <c r="G608" s="35">
        <v>3</v>
      </c>
      <c r="H608" s="32" t="s">
        <v>199</v>
      </c>
      <c r="I608" s="32">
        <v>1</v>
      </c>
      <c r="K608" s="32" t="s">
        <v>276</v>
      </c>
      <c r="L608" s="32" t="s">
        <v>156</v>
      </c>
      <c r="M608" s="42" t="s">
        <v>335</v>
      </c>
      <c r="N608" s="35"/>
      <c r="O608" s="51"/>
      <c r="P608" s="51"/>
      <c r="Q608" s="64"/>
      <c r="R608" s="76">
        <v>3.2080000000000002</v>
      </c>
      <c r="S608" s="76">
        <v>3.2080000000000002</v>
      </c>
      <c r="T608" s="66">
        <v>3.1850000000000001</v>
      </c>
      <c r="U608" s="67">
        <f t="shared" si="29"/>
        <v>3.1965000000000003</v>
      </c>
      <c r="V608" s="66">
        <v>3.1970000000000001</v>
      </c>
    </row>
    <row r="609" spans="1:22">
      <c r="A609" s="32" t="s">
        <v>103</v>
      </c>
      <c r="B609" s="35" t="s">
        <v>82</v>
      </c>
      <c r="C609" s="35" t="s">
        <v>22</v>
      </c>
      <c r="D609" s="69">
        <v>47</v>
      </c>
      <c r="E609" s="35">
        <v>5000</v>
      </c>
      <c r="F609" s="35">
        <v>5</v>
      </c>
      <c r="G609" s="35">
        <v>3</v>
      </c>
      <c r="H609" s="32" t="s">
        <v>199</v>
      </c>
      <c r="I609" s="32">
        <v>2</v>
      </c>
      <c r="J609" s="32">
        <v>1</v>
      </c>
      <c r="K609" s="32" t="s">
        <v>275</v>
      </c>
      <c r="L609" s="32" t="s">
        <v>157</v>
      </c>
      <c r="M609" s="42" t="s">
        <v>335</v>
      </c>
      <c r="N609" s="35">
        <v>8.9999999999999998E-4</v>
      </c>
      <c r="O609" s="51">
        <v>1.6100000000000136</v>
      </c>
      <c r="P609" s="51">
        <v>1.6100000000000136</v>
      </c>
      <c r="Q609" s="64">
        <v>1</v>
      </c>
      <c r="R609" s="76">
        <v>3.0115617529880478</v>
      </c>
      <c r="S609" s="76">
        <v>3.0115617529880478</v>
      </c>
      <c r="T609" s="66">
        <v>2.9465145670906852</v>
      </c>
      <c r="U609" s="67">
        <f t="shared" si="29"/>
        <v>2.9790381600393667</v>
      </c>
      <c r="V609" s="66">
        <v>2.9740079155672832</v>
      </c>
    </row>
    <row r="610" spans="1:22">
      <c r="A610" s="32" t="s">
        <v>103</v>
      </c>
      <c r="B610" s="35" t="s">
        <v>82</v>
      </c>
      <c r="C610" s="35" t="s">
        <v>22</v>
      </c>
      <c r="D610" s="69">
        <v>47</v>
      </c>
      <c r="E610" s="35">
        <v>5000</v>
      </c>
      <c r="F610" s="35">
        <v>5</v>
      </c>
      <c r="G610" s="35">
        <v>3</v>
      </c>
      <c r="H610" s="32" t="s">
        <v>199</v>
      </c>
      <c r="I610" s="32">
        <v>3</v>
      </c>
      <c r="J610" s="32">
        <v>2</v>
      </c>
      <c r="K610" s="32" t="s">
        <v>276</v>
      </c>
      <c r="L610" s="32" t="s">
        <v>153</v>
      </c>
      <c r="M610" s="42" t="s">
        <v>247</v>
      </c>
      <c r="N610" s="35">
        <v>0</v>
      </c>
      <c r="O610" s="51">
        <v>8.8799999999999955</v>
      </c>
      <c r="P610" s="51">
        <v>8.8799999999999955</v>
      </c>
      <c r="Q610" s="64">
        <v>1</v>
      </c>
      <c r="R610" s="76">
        <v>2.9602663316582909</v>
      </c>
      <c r="S610" s="76">
        <v>2.9602663316582909</v>
      </c>
      <c r="T610" s="66">
        <v>2.904828156514724</v>
      </c>
      <c r="U610" s="67">
        <f t="shared" si="29"/>
        <v>2.9325472440865075</v>
      </c>
      <c r="V610" s="66">
        <v>2.931119795471147</v>
      </c>
    </row>
    <row r="611" spans="1:22">
      <c r="A611" s="32" t="s">
        <v>103</v>
      </c>
      <c r="B611" s="35" t="s">
        <v>82</v>
      </c>
      <c r="C611" s="35" t="s">
        <v>22</v>
      </c>
      <c r="D611" s="69">
        <v>47</v>
      </c>
      <c r="E611" s="35">
        <v>5000</v>
      </c>
      <c r="F611" s="35">
        <v>5</v>
      </c>
      <c r="G611" s="35">
        <v>3</v>
      </c>
      <c r="H611" s="32" t="s">
        <v>199</v>
      </c>
      <c r="I611" s="32">
        <v>4</v>
      </c>
      <c r="J611" s="32">
        <v>3</v>
      </c>
      <c r="K611" s="32" t="s">
        <v>276</v>
      </c>
      <c r="L611" s="32" t="s">
        <v>158</v>
      </c>
      <c r="M611" s="42" t="s">
        <v>247</v>
      </c>
      <c r="N611" s="35">
        <v>4.4999999999999997E-3</v>
      </c>
      <c r="O611" s="51">
        <v>-2.9300000000000637</v>
      </c>
      <c r="P611" s="51">
        <v>-2.9300000000000637</v>
      </c>
      <c r="Q611" s="64">
        <v>1</v>
      </c>
      <c r="R611" s="76">
        <v>2.9711554993678888</v>
      </c>
      <c r="S611" s="76">
        <v>2.9711554993678888</v>
      </c>
      <c r="T611" s="66">
        <v>2.8992271604938269</v>
      </c>
      <c r="U611" s="67">
        <f t="shared" si="29"/>
        <v>2.9351913299308579</v>
      </c>
      <c r="V611" s="66">
        <v>2.9319996226415088</v>
      </c>
    </row>
    <row r="612" spans="1:22">
      <c r="A612" s="32" t="s">
        <v>103</v>
      </c>
      <c r="B612" s="35" t="s">
        <v>82</v>
      </c>
      <c r="C612" s="35" t="s">
        <v>22</v>
      </c>
      <c r="D612" s="69">
        <v>47</v>
      </c>
      <c r="E612" s="35">
        <v>5000</v>
      </c>
      <c r="F612" s="35">
        <v>5</v>
      </c>
      <c r="G612" s="35">
        <v>3</v>
      </c>
      <c r="H612" s="32" t="s">
        <v>199</v>
      </c>
      <c r="I612" s="32">
        <v>5</v>
      </c>
      <c r="J612" s="32">
        <v>4</v>
      </c>
      <c r="K612" s="32" t="s">
        <v>275</v>
      </c>
      <c r="L612" s="32" t="s">
        <v>155</v>
      </c>
      <c r="M612" s="42" t="s">
        <v>247</v>
      </c>
      <c r="N612" s="35">
        <v>0</v>
      </c>
      <c r="O612" s="51">
        <v>-1.0899999999999181</v>
      </c>
      <c r="P612" s="51">
        <v>-1.0899999999999181</v>
      </c>
      <c r="Q612" s="64">
        <v>1</v>
      </c>
      <c r="R612" s="76">
        <v>2.9314520191055151</v>
      </c>
      <c r="S612" s="76">
        <v>2.9314520191055151</v>
      </c>
      <c r="T612" s="66">
        <v>2.8633327868852461</v>
      </c>
      <c r="U612" s="67">
        <f t="shared" si="29"/>
        <v>2.8973924029953806</v>
      </c>
      <c r="V612" s="66">
        <v>2.898756390977443</v>
      </c>
    </row>
    <row r="613" spans="1:22">
      <c r="A613" s="32" t="s">
        <v>103</v>
      </c>
      <c r="B613" s="35" t="s">
        <v>82</v>
      </c>
      <c r="C613" s="35" t="s">
        <v>22</v>
      </c>
      <c r="D613" s="69">
        <v>47</v>
      </c>
      <c r="E613" s="35">
        <v>5000</v>
      </c>
      <c r="F613" s="35">
        <v>5</v>
      </c>
      <c r="G613" s="35">
        <v>3</v>
      </c>
      <c r="H613" s="32" t="s">
        <v>199</v>
      </c>
      <c r="I613" s="32">
        <v>6</v>
      </c>
      <c r="J613" s="32">
        <v>5</v>
      </c>
      <c r="K613" s="32" t="s">
        <v>275</v>
      </c>
      <c r="L613" s="32" t="s">
        <v>154</v>
      </c>
      <c r="M613" s="42" t="s">
        <v>247</v>
      </c>
      <c r="N613" s="35">
        <v>0</v>
      </c>
      <c r="O613" s="51">
        <v>4.4900000000000091</v>
      </c>
      <c r="P613" s="51">
        <v>4.4900000000000091</v>
      </c>
      <c r="Q613" s="64">
        <v>1</v>
      </c>
      <c r="R613" s="76">
        <v>3.0038323974082082</v>
      </c>
      <c r="S613" s="76">
        <v>3.0038323974082082</v>
      </c>
      <c r="T613" s="66">
        <v>2.9584382151029751</v>
      </c>
      <c r="U613" s="67">
        <f t="shared" si="29"/>
        <v>2.9811353062555916</v>
      </c>
      <c r="V613" s="66">
        <v>2.9768903339191568</v>
      </c>
    </row>
    <row r="614" spans="1:22">
      <c r="A614" s="32" t="s">
        <v>135</v>
      </c>
      <c r="B614" s="35" t="s">
        <v>65</v>
      </c>
      <c r="C614" s="35" t="s">
        <v>21</v>
      </c>
      <c r="D614" s="58">
        <v>30</v>
      </c>
      <c r="E614" s="35">
        <v>10000</v>
      </c>
      <c r="F614" s="35">
        <v>12.83</v>
      </c>
      <c r="G614" s="35">
        <v>1</v>
      </c>
      <c r="H614" s="32" t="s">
        <v>197</v>
      </c>
      <c r="I614" s="32">
        <v>1</v>
      </c>
      <c r="J614" s="32">
        <v>1</v>
      </c>
      <c r="K614" s="32" t="s">
        <v>275</v>
      </c>
      <c r="L614" s="32" t="s">
        <v>154</v>
      </c>
      <c r="M614" s="42" t="s">
        <v>381</v>
      </c>
      <c r="N614" s="35">
        <v>0</v>
      </c>
      <c r="O614" s="51">
        <v>3.1739999999999782</v>
      </c>
      <c r="P614" s="51">
        <v>3.1739999999999782</v>
      </c>
      <c r="Q614" s="64">
        <v>1</v>
      </c>
      <c r="R614" s="76">
        <v>2.962542516352443</v>
      </c>
      <c r="S614" s="76">
        <v>2.962542516352443</v>
      </c>
      <c r="T614" s="66">
        <v>3.1834546544147022</v>
      </c>
      <c r="U614" s="67">
        <f t="shared" si="29"/>
        <v>3.0729985853835728</v>
      </c>
      <c r="V614" s="66">
        <v>3.0855892857142861</v>
      </c>
    </row>
    <row r="615" spans="1:22">
      <c r="A615" s="32" t="s">
        <v>135</v>
      </c>
      <c r="B615" s="35" t="s">
        <v>65</v>
      </c>
      <c r="C615" s="35" t="s">
        <v>21</v>
      </c>
      <c r="D615" s="58">
        <v>30</v>
      </c>
      <c r="E615" s="35">
        <v>10000</v>
      </c>
      <c r="F615" s="35">
        <v>12.83</v>
      </c>
      <c r="G615" s="35">
        <v>1</v>
      </c>
      <c r="H615" s="32" t="s">
        <v>197</v>
      </c>
      <c r="I615" s="32">
        <v>2</v>
      </c>
      <c r="J615" s="32">
        <v>2</v>
      </c>
      <c r="K615" s="32" t="s">
        <v>276</v>
      </c>
      <c r="L615" s="32" t="s">
        <v>155</v>
      </c>
      <c r="M615" s="42" t="s">
        <v>381</v>
      </c>
      <c r="N615" s="35">
        <v>0</v>
      </c>
      <c r="O615" s="51">
        <v>3.2720000000000482</v>
      </c>
      <c r="P615" s="51">
        <v>3.2720000000000482</v>
      </c>
      <c r="Q615" s="64">
        <v>1</v>
      </c>
      <c r="R615" s="76">
        <v>3.07708671380722</v>
      </c>
      <c r="S615" s="76">
        <v>3.07708671380722</v>
      </c>
      <c r="T615" s="66">
        <v>3.2401536714610151</v>
      </c>
      <c r="U615" s="67">
        <f t="shared" si="29"/>
        <v>3.1586201926341175</v>
      </c>
      <c r="V615" s="66">
        <v>3.1808603667136812</v>
      </c>
    </row>
    <row r="616" spans="1:22">
      <c r="A616" s="32" t="s">
        <v>135</v>
      </c>
      <c r="B616" s="35" t="s">
        <v>65</v>
      </c>
      <c r="C616" s="35" t="s">
        <v>21</v>
      </c>
      <c r="D616" s="58">
        <v>30</v>
      </c>
      <c r="E616" s="35">
        <v>10000</v>
      </c>
      <c r="F616" s="35">
        <v>12.83</v>
      </c>
      <c r="G616" s="35">
        <v>1</v>
      </c>
      <c r="H616" s="32" t="s">
        <v>197</v>
      </c>
      <c r="I616" s="32">
        <v>3</v>
      </c>
      <c r="J616" s="32">
        <v>3</v>
      </c>
      <c r="K616" s="32" t="s">
        <v>275</v>
      </c>
      <c r="L616" s="32" t="s">
        <v>158</v>
      </c>
      <c r="M616" s="42" t="s">
        <v>381</v>
      </c>
      <c r="N616" s="35">
        <v>6.3200000000000006E-2</v>
      </c>
      <c r="O616" s="51">
        <v>1.4699999999999136</v>
      </c>
      <c r="P616" s="51">
        <v>1.4699999999999136</v>
      </c>
      <c r="Q616" s="64">
        <v>1</v>
      </c>
      <c r="R616" s="76">
        <v>2.8487199155524281</v>
      </c>
      <c r="S616" s="76">
        <v>2.8487199155524281</v>
      </c>
      <c r="T616" s="66">
        <v>3.0496857657657661</v>
      </c>
      <c r="U616" s="67">
        <f t="shared" si="29"/>
        <v>2.9492028406590971</v>
      </c>
      <c r="V616" s="66">
        <v>2.9561384562132229</v>
      </c>
    </row>
    <row r="617" spans="1:22">
      <c r="A617" s="32" t="s">
        <v>135</v>
      </c>
      <c r="B617" s="35" t="s">
        <v>65</v>
      </c>
      <c r="C617" s="35" t="s">
        <v>21</v>
      </c>
      <c r="D617" s="58">
        <v>30</v>
      </c>
      <c r="E617" s="35">
        <v>10000</v>
      </c>
      <c r="F617" s="35">
        <v>12.83</v>
      </c>
      <c r="G617" s="35">
        <v>1</v>
      </c>
      <c r="H617" s="32" t="s">
        <v>197</v>
      </c>
      <c r="I617" s="32">
        <v>4</v>
      </c>
      <c r="J617" s="32">
        <v>4</v>
      </c>
      <c r="K617" s="32" t="s">
        <v>276</v>
      </c>
      <c r="L617" s="32" t="s">
        <v>157</v>
      </c>
      <c r="M617" s="42" t="s">
        <v>381</v>
      </c>
      <c r="N617" s="35">
        <v>0</v>
      </c>
      <c r="O617" s="51">
        <v>5.8179999999999836</v>
      </c>
      <c r="P617" s="51">
        <v>5.8179999999999836</v>
      </c>
      <c r="Q617" s="64">
        <v>1</v>
      </c>
      <c r="R617" s="76">
        <v>2.902289692585895</v>
      </c>
      <c r="S617" s="76">
        <v>2.902289692585895</v>
      </c>
      <c r="T617" s="66">
        <v>3.107439115773698</v>
      </c>
      <c r="U617" s="67">
        <f t="shared" si="29"/>
        <v>3.0048644041797967</v>
      </c>
      <c r="V617" s="66">
        <v>3.0158593804385658</v>
      </c>
    </row>
    <row r="618" spans="1:22">
      <c r="A618" s="32" t="s">
        <v>135</v>
      </c>
      <c r="B618" s="35" t="s">
        <v>65</v>
      </c>
      <c r="C618" s="35" t="s">
        <v>21</v>
      </c>
      <c r="D618" s="58">
        <v>30</v>
      </c>
      <c r="E618" s="35">
        <v>10000</v>
      </c>
      <c r="F618" s="35">
        <v>12.83</v>
      </c>
      <c r="G618" s="35">
        <v>1</v>
      </c>
      <c r="H618" s="32" t="s">
        <v>197</v>
      </c>
      <c r="I618" s="32">
        <v>5</v>
      </c>
      <c r="K618" s="32" t="s">
        <v>276</v>
      </c>
      <c r="L618" s="32" t="s">
        <v>156</v>
      </c>
      <c r="M618" s="42" t="s">
        <v>381</v>
      </c>
      <c r="N618" s="35">
        <v>0</v>
      </c>
      <c r="O618" s="51"/>
      <c r="P618" s="51"/>
      <c r="Q618" s="64"/>
      <c r="R618" s="76">
        <v>2.8891960017383749</v>
      </c>
      <c r="S618" s="76">
        <v>2.8891960017383749</v>
      </c>
      <c r="T618" s="66">
        <v>3.0544591478696739</v>
      </c>
      <c r="U618" s="67">
        <f t="shared" si="29"/>
        <v>2.9718275748040242</v>
      </c>
      <c r="V618" s="66">
        <v>3.0102003142183822</v>
      </c>
    </row>
    <row r="619" spans="1:22">
      <c r="A619" s="32" t="s">
        <v>135</v>
      </c>
      <c r="B619" s="35" t="s">
        <v>65</v>
      </c>
      <c r="C619" s="35" t="s">
        <v>21</v>
      </c>
      <c r="D619" s="58">
        <v>30</v>
      </c>
      <c r="E619" s="35">
        <v>10000</v>
      </c>
      <c r="F619" s="35">
        <v>12.83</v>
      </c>
      <c r="G619" s="35">
        <v>1</v>
      </c>
      <c r="H619" s="32" t="s">
        <v>197</v>
      </c>
      <c r="I619" s="32">
        <v>6</v>
      </c>
      <c r="J619" s="32">
        <v>5</v>
      </c>
      <c r="K619" s="32" t="s">
        <v>275</v>
      </c>
      <c r="L619" s="32" t="s">
        <v>153</v>
      </c>
      <c r="M619" s="42" t="s">
        <v>381</v>
      </c>
      <c r="N619" s="35">
        <v>0</v>
      </c>
      <c r="O619" s="51">
        <v>11.477000000000089</v>
      </c>
      <c r="P619" s="51">
        <v>11.477000000000089</v>
      </c>
      <c r="Q619" s="64">
        <v>1</v>
      </c>
      <c r="R619" s="76">
        <v>2.8734514222386411</v>
      </c>
      <c r="S619" s="76">
        <v>2.8734514222386411</v>
      </c>
      <c r="T619" s="66">
        <v>3.0917543071161049</v>
      </c>
      <c r="U619" s="67">
        <f t="shared" si="29"/>
        <v>2.9826028646773732</v>
      </c>
      <c r="V619" s="66">
        <v>2.990572039942939</v>
      </c>
    </row>
    <row r="620" spans="1:22">
      <c r="A620" s="32" t="s">
        <v>135</v>
      </c>
      <c r="B620" s="35" t="s">
        <v>65</v>
      </c>
      <c r="C620" s="35" t="s">
        <v>14</v>
      </c>
      <c r="D620" s="58">
        <v>30</v>
      </c>
      <c r="E620" s="35">
        <v>10000</v>
      </c>
      <c r="F620" s="35">
        <v>12.83</v>
      </c>
      <c r="G620" s="35">
        <v>2</v>
      </c>
      <c r="H620" s="32" t="s">
        <v>194</v>
      </c>
      <c r="I620" s="32">
        <v>1</v>
      </c>
      <c r="J620" s="32">
        <v>1</v>
      </c>
      <c r="K620" s="32" t="s">
        <v>275</v>
      </c>
      <c r="L620" s="32" t="s">
        <v>153</v>
      </c>
      <c r="M620" s="46" t="s">
        <v>382</v>
      </c>
      <c r="N620" s="35">
        <v>6.9999999999999999E-4</v>
      </c>
      <c r="O620" s="51">
        <v>4.8190000000000168</v>
      </c>
      <c r="P620" s="51">
        <v>4.8190000000000168</v>
      </c>
      <c r="Q620" s="64">
        <v>1</v>
      </c>
      <c r="R620" s="76">
        <v>3.1175582776540458</v>
      </c>
      <c r="S620" s="76">
        <v>3.1175582776540458</v>
      </c>
      <c r="T620" s="66">
        <v>3.2225291637385798</v>
      </c>
      <c r="U620" s="67">
        <f t="shared" si="29"/>
        <v>3.170043720696313</v>
      </c>
      <c r="V620" s="66">
        <v>3.1800104377104379</v>
      </c>
    </row>
    <row r="621" spans="1:22">
      <c r="A621" s="32" t="s">
        <v>135</v>
      </c>
      <c r="B621" s="35" t="s">
        <v>65</v>
      </c>
      <c r="C621" s="35" t="s">
        <v>14</v>
      </c>
      <c r="D621" s="58">
        <v>30</v>
      </c>
      <c r="E621" s="35">
        <v>10000</v>
      </c>
      <c r="F621" s="35">
        <v>12.83</v>
      </c>
      <c r="G621" s="35">
        <v>2</v>
      </c>
      <c r="H621" s="32" t="s">
        <v>194</v>
      </c>
      <c r="I621" s="32">
        <v>2</v>
      </c>
      <c r="J621" s="32">
        <v>2</v>
      </c>
      <c r="K621" s="32" t="s">
        <v>276</v>
      </c>
      <c r="L621" s="32" t="s">
        <v>154</v>
      </c>
      <c r="M621" s="46" t="s">
        <v>382</v>
      </c>
      <c r="N621" s="35">
        <v>1.6999999999999999E-3</v>
      </c>
      <c r="O621" s="51">
        <v>6.6599999999999682</v>
      </c>
      <c r="P621" s="51">
        <v>6.6599999999999682</v>
      </c>
      <c r="Q621" s="64">
        <v>1</v>
      </c>
      <c r="R621" s="76">
        <v>2.9979092792046389</v>
      </c>
      <c r="S621" s="76">
        <v>2.9979092792046389</v>
      </c>
      <c r="T621" s="66">
        <v>3.087913149633764</v>
      </c>
      <c r="U621" s="67">
        <f t="shared" si="29"/>
        <v>3.0429112144192016</v>
      </c>
      <c r="V621" s="66">
        <v>3.0684633490248832</v>
      </c>
    </row>
    <row r="622" spans="1:22">
      <c r="A622" s="32" t="s">
        <v>135</v>
      </c>
      <c r="B622" s="35" t="s">
        <v>65</v>
      </c>
      <c r="C622" s="35" t="s">
        <v>14</v>
      </c>
      <c r="D622" s="58">
        <v>30</v>
      </c>
      <c r="E622" s="35">
        <v>10000</v>
      </c>
      <c r="F622" s="35">
        <v>12.83</v>
      </c>
      <c r="G622" s="35">
        <v>2</v>
      </c>
      <c r="H622" s="32" t="s">
        <v>194</v>
      </c>
      <c r="I622" s="32">
        <v>3</v>
      </c>
      <c r="J622" s="32">
        <v>3</v>
      </c>
      <c r="K622" s="32" t="s">
        <v>276</v>
      </c>
      <c r="L622" s="32" t="s">
        <v>155</v>
      </c>
      <c r="M622" s="46" t="s">
        <v>239</v>
      </c>
      <c r="N622" s="35">
        <v>0</v>
      </c>
      <c r="O622" s="51">
        <v>2.5099999999999909</v>
      </c>
      <c r="P622" s="51">
        <v>2.5099999999999909</v>
      </c>
      <c r="Q622" s="64">
        <v>1</v>
      </c>
      <c r="R622" s="76">
        <v>2.8492875520242151</v>
      </c>
      <c r="S622" s="76">
        <v>2.8492875520242151</v>
      </c>
      <c r="T622" s="66">
        <v>2.8960190443213301</v>
      </c>
      <c r="U622" s="67">
        <f t="shared" si="29"/>
        <v>2.8726532981727724</v>
      </c>
      <c r="V622" s="66">
        <v>2.898386902773137</v>
      </c>
    </row>
    <row r="623" spans="1:22">
      <c r="A623" s="32" t="s">
        <v>135</v>
      </c>
      <c r="B623" s="35" t="s">
        <v>65</v>
      </c>
      <c r="C623" s="35" t="s">
        <v>14</v>
      </c>
      <c r="D623" s="58">
        <v>30</v>
      </c>
      <c r="E623" s="35">
        <v>10000</v>
      </c>
      <c r="F623" s="35">
        <v>12.83</v>
      </c>
      <c r="G623" s="35">
        <v>2</v>
      </c>
      <c r="H623" s="32" t="s">
        <v>194</v>
      </c>
      <c r="I623" s="32">
        <v>4</v>
      </c>
      <c r="K623" s="32" t="s">
        <v>275</v>
      </c>
      <c r="L623" s="32" t="s">
        <v>156</v>
      </c>
      <c r="M623" s="46" t="s">
        <v>239</v>
      </c>
      <c r="N623" s="35"/>
      <c r="O623" s="51"/>
      <c r="P623" s="51"/>
      <c r="Q623" s="64"/>
      <c r="R623" s="76">
        <v>4.16</v>
      </c>
      <c r="S623" s="76">
        <v>4.16</v>
      </c>
      <c r="T623" s="66">
        <v>4.3630000000000004</v>
      </c>
      <c r="U623" s="67">
        <f t="shared" si="29"/>
        <v>4.2614999999999998</v>
      </c>
      <c r="V623" s="66">
        <v>4.2619999999999996</v>
      </c>
    </row>
    <row r="624" spans="1:22">
      <c r="A624" s="32" t="s">
        <v>135</v>
      </c>
      <c r="B624" s="35" t="s">
        <v>65</v>
      </c>
      <c r="C624" s="35" t="s">
        <v>14</v>
      </c>
      <c r="D624" s="58">
        <v>30</v>
      </c>
      <c r="E624" s="35">
        <v>10000</v>
      </c>
      <c r="F624" s="35">
        <v>12.83</v>
      </c>
      <c r="G624" s="35">
        <v>2</v>
      </c>
      <c r="H624" s="32" t="s">
        <v>194</v>
      </c>
      <c r="I624" s="32">
        <v>5</v>
      </c>
      <c r="J624" s="32">
        <v>4</v>
      </c>
      <c r="K624" s="32" t="s">
        <v>276</v>
      </c>
      <c r="L624" s="32" t="s">
        <v>157</v>
      </c>
      <c r="M624" s="46" t="s">
        <v>239</v>
      </c>
      <c r="N624" s="35">
        <v>0</v>
      </c>
      <c r="O624" s="51">
        <v>4.2899999999999636</v>
      </c>
      <c r="P624" s="51">
        <v>4.2899999999999636</v>
      </c>
      <c r="Q624" s="64">
        <v>1</v>
      </c>
      <c r="R624" s="76">
        <v>2.90036033519553</v>
      </c>
      <c r="S624" s="76">
        <v>2.90036033519553</v>
      </c>
      <c r="T624" s="66">
        <v>2.96808488538682</v>
      </c>
      <c r="U624" s="67">
        <f t="shared" si="29"/>
        <v>2.934222610291175</v>
      </c>
      <c r="V624" s="66">
        <v>2.9617378213802441</v>
      </c>
    </row>
    <row r="625" spans="1:22">
      <c r="A625" s="32" t="s">
        <v>135</v>
      </c>
      <c r="B625" s="35" t="s">
        <v>65</v>
      </c>
      <c r="C625" s="35" t="s">
        <v>14</v>
      </c>
      <c r="D625" s="58">
        <v>30</v>
      </c>
      <c r="E625" s="35">
        <v>10000</v>
      </c>
      <c r="F625" s="35">
        <v>12.83</v>
      </c>
      <c r="G625" s="35">
        <v>2</v>
      </c>
      <c r="H625" s="32" t="s">
        <v>194</v>
      </c>
      <c r="I625" s="32">
        <v>6</v>
      </c>
      <c r="J625" s="32">
        <v>5</v>
      </c>
      <c r="K625" s="32" t="s">
        <v>275</v>
      </c>
      <c r="L625" s="32" t="s">
        <v>158</v>
      </c>
      <c r="M625" s="46" t="s">
        <v>239</v>
      </c>
      <c r="N625" s="35">
        <v>5.4999999999999997E-3</v>
      </c>
      <c r="O625" s="51" t="s">
        <v>394</v>
      </c>
      <c r="P625" s="51" t="s">
        <v>394</v>
      </c>
      <c r="Q625" s="64" t="s">
        <v>274</v>
      </c>
      <c r="R625" s="76">
        <v>2.9508952599388381</v>
      </c>
      <c r="S625" s="76">
        <v>2.9508952599388381</v>
      </c>
      <c r="T625" s="66">
        <v>2.988361978253244</v>
      </c>
      <c r="U625" s="67">
        <f t="shared" si="29"/>
        <v>2.9696286190960413</v>
      </c>
      <c r="V625" s="66">
        <v>2.9961216895742542</v>
      </c>
    </row>
    <row r="626" spans="1:22">
      <c r="A626" s="32" t="s">
        <v>135</v>
      </c>
      <c r="B626" s="35" t="s">
        <v>65</v>
      </c>
      <c r="C626" s="35" t="s">
        <v>22</v>
      </c>
      <c r="D626" s="58">
        <v>30</v>
      </c>
      <c r="E626" s="35">
        <v>10000</v>
      </c>
      <c r="F626" s="35">
        <v>12.83</v>
      </c>
      <c r="G626" s="35">
        <v>3</v>
      </c>
      <c r="H626" s="32" t="s">
        <v>199</v>
      </c>
      <c r="I626" s="32">
        <v>1</v>
      </c>
      <c r="K626" s="32" t="s">
        <v>276</v>
      </c>
      <c r="L626" s="32" t="s">
        <v>156</v>
      </c>
      <c r="M626" s="42" t="s">
        <v>383</v>
      </c>
      <c r="N626" s="35"/>
      <c r="O626" s="51"/>
      <c r="P626" s="51"/>
      <c r="Q626" s="64"/>
      <c r="R626" s="76">
        <v>4.1859999999999999</v>
      </c>
      <c r="S626" s="76">
        <v>4.1859999999999999</v>
      </c>
      <c r="T626" s="66">
        <v>4.0629999999999997</v>
      </c>
      <c r="U626" s="67">
        <f t="shared" si="29"/>
        <v>4.1244999999999994</v>
      </c>
      <c r="V626" s="66">
        <v>4.1239999999999997</v>
      </c>
    </row>
    <row r="627" spans="1:22">
      <c r="A627" s="32" t="s">
        <v>135</v>
      </c>
      <c r="B627" s="35" t="s">
        <v>65</v>
      </c>
      <c r="C627" s="35" t="s">
        <v>22</v>
      </c>
      <c r="D627" s="58">
        <v>30</v>
      </c>
      <c r="E627" s="35">
        <v>10000</v>
      </c>
      <c r="F627" s="35">
        <v>12.83</v>
      </c>
      <c r="G627" s="35">
        <v>3</v>
      </c>
      <c r="H627" s="32" t="s">
        <v>199</v>
      </c>
      <c r="I627" s="32">
        <v>2</v>
      </c>
      <c r="J627" s="32">
        <v>1</v>
      </c>
      <c r="K627" s="32" t="s">
        <v>275</v>
      </c>
      <c r="L627" s="32" t="s">
        <v>157</v>
      </c>
      <c r="M627" s="42" t="s">
        <v>383</v>
      </c>
      <c r="N627" s="35">
        <v>0</v>
      </c>
      <c r="O627" s="51">
        <v>5.1899999999999977</v>
      </c>
      <c r="P627" s="51">
        <v>5.1899999999999977</v>
      </c>
      <c r="Q627" s="64">
        <v>1</v>
      </c>
      <c r="R627" s="76">
        <v>3.1877762803234502</v>
      </c>
      <c r="S627" s="76">
        <v>3.1877762803234502</v>
      </c>
      <c r="T627" s="66">
        <v>3.1621486231610709</v>
      </c>
      <c r="U627" s="67">
        <f t="shared" si="29"/>
        <v>3.1749624517422603</v>
      </c>
      <c r="V627" s="66">
        <v>3.2088388810198301</v>
      </c>
    </row>
    <row r="628" spans="1:22">
      <c r="A628" s="32" t="s">
        <v>135</v>
      </c>
      <c r="B628" s="35" t="s">
        <v>65</v>
      </c>
      <c r="C628" s="35" t="s">
        <v>22</v>
      </c>
      <c r="D628" s="58">
        <v>30</v>
      </c>
      <c r="E628" s="35">
        <v>10000</v>
      </c>
      <c r="F628" s="35">
        <v>12.83</v>
      </c>
      <c r="G628" s="35">
        <v>3</v>
      </c>
      <c r="H628" s="32" t="s">
        <v>199</v>
      </c>
      <c r="I628" s="32">
        <v>3</v>
      </c>
      <c r="J628" s="32">
        <v>2</v>
      </c>
      <c r="K628" s="32" t="s">
        <v>276</v>
      </c>
      <c r="L628" s="32" t="s">
        <v>153</v>
      </c>
      <c r="M628" s="42" t="s">
        <v>260</v>
      </c>
      <c r="N628" s="35">
        <v>0</v>
      </c>
      <c r="O628" s="51">
        <v>5.8300000000000409</v>
      </c>
      <c r="P628" s="51">
        <v>5.8300000000000409</v>
      </c>
      <c r="Q628" s="64">
        <v>1</v>
      </c>
      <c r="R628" s="76">
        <v>3.1493709617526928</v>
      </c>
      <c r="S628" s="76">
        <v>3.1493709617526928</v>
      </c>
      <c r="T628" s="66">
        <v>3.09951637279597</v>
      </c>
      <c r="U628" s="67">
        <f t="shared" si="29"/>
        <v>3.1244436672743312</v>
      </c>
      <c r="V628" s="66">
        <v>3.1469526911210148</v>
      </c>
    </row>
    <row r="629" spans="1:22">
      <c r="A629" s="32" t="s">
        <v>135</v>
      </c>
      <c r="B629" s="35" t="s">
        <v>65</v>
      </c>
      <c r="C629" s="35" t="s">
        <v>22</v>
      </c>
      <c r="D629" s="58">
        <v>30</v>
      </c>
      <c r="E629" s="35">
        <v>10000</v>
      </c>
      <c r="F629" s="35">
        <v>12.83</v>
      </c>
      <c r="G629" s="35">
        <v>3</v>
      </c>
      <c r="H629" s="32" t="s">
        <v>199</v>
      </c>
      <c r="I629" s="32">
        <v>4</v>
      </c>
      <c r="J629" s="32">
        <v>3</v>
      </c>
      <c r="K629" s="32" t="s">
        <v>276</v>
      </c>
      <c r="L629" s="32" t="s">
        <v>158</v>
      </c>
      <c r="M629" s="42" t="s">
        <v>260</v>
      </c>
      <c r="N629" s="35">
        <v>0</v>
      </c>
      <c r="O629" s="51">
        <v>3.0799999999999272</v>
      </c>
      <c r="P629" s="51">
        <v>3.0799999999999272</v>
      </c>
      <c r="Q629" s="64">
        <v>1</v>
      </c>
      <c r="R629" s="76">
        <v>2.9549287219101128</v>
      </c>
      <c r="S629" s="76">
        <v>2.9549287219101128</v>
      </c>
      <c r="T629" s="66">
        <v>2.9444160357880249</v>
      </c>
      <c r="U629" s="67">
        <f t="shared" si="29"/>
        <v>2.9496723788490691</v>
      </c>
      <c r="V629" s="66">
        <v>2.9662923700202559</v>
      </c>
    </row>
    <row r="630" spans="1:22">
      <c r="A630" s="32" t="s">
        <v>135</v>
      </c>
      <c r="B630" s="35" t="s">
        <v>65</v>
      </c>
      <c r="C630" s="35" t="s">
        <v>22</v>
      </c>
      <c r="D630" s="58">
        <v>30</v>
      </c>
      <c r="E630" s="35">
        <v>10000</v>
      </c>
      <c r="F630" s="35">
        <v>12.83</v>
      </c>
      <c r="G630" s="35">
        <v>3</v>
      </c>
      <c r="H630" s="32" t="s">
        <v>199</v>
      </c>
      <c r="I630" s="32">
        <v>5</v>
      </c>
      <c r="J630" s="32">
        <v>4</v>
      </c>
      <c r="K630" s="32" t="s">
        <v>275</v>
      </c>
      <c r="L630" s="32" t="s">
        <v>155</v>
      </c>
      <c r="M630" s="42" t="s">
        <v>260</v>
      </c>
      <c r="N630" s="35">
        <v>0</v>
      </c>
      <c r="O630" s="51">
        <v>4.3229999999999791</v>
      </c>
      <c r="P630" s="51">
        <v>4.3229999999999791</v>
      </c>
      <c r="Q630" s="64">
        <v>1</v>
      </c>
      <c r="R630" s="76">
        <v>2.8977582853025941</v>
      </c>
      <c r="S630" s="76">
        <v>2.8977582853025941</v>
      </c>
      <c r="T630" s="66">
        <v>2.8848885714285708</v>
      </c>
      <c r="U630" s="67">
        <f t="shared" si="29"/>
        <v>2.8913234283655824</v>
      </c>
      <c r="V630" s="66">
        <v>2.9177458506224072</v>
      </c>
    </row>
    <row r="631" spans="1:22">
      <c r="A631" s="32" t="s">
        <v>135</v>
      </c>
      <c r="B631" s="35" t="s">
        <v>65</v>
      </c>
      <c r="C631" s="35" t="s">
        <v>22</v>
      </c>
      <c r="D631" s="58">
        <v>30</v>
      </c>
      <c r="E631" s="35">
        <v>10000</v>
      </c>
      <c r="F631" s="35">
        <v>12.83</v>
      </c>
      <c r="G631" s="35">
        <v>3</v>
      </c>
      <c r="H631" s="32" t="s">
        <v>199</v>
      </c>
      <c r="I631" s="32">
        <v>6</v>
      </c>
      <c r="J631" s="32">
        <v>5</v>
      </c>
      <c r="K631" s="32" t="s">
        <v>275</v>
      </c>
      <c r="L631" s="32" t="s">
        <v>154</v>
      </c>
      <c r="M631" s="42" t="s">
        <v>260</v>
      </c>
      <c r="N631" s="35">
        <v>0</v>
      </c>
      <c r="O631" s="51">
        <v>7.7699999999999818</v>
      </c>
      <c r="P631" s="51">
        <v>7.7699999999999818</v>
      </c>
      <c r="Q631" s="64">
        <v>1</v>
      </c>
      <c r="R631" s="76">
        <v>2.9606499407348879</v>
      </c>
      <c r="S631" s="76">
        <v>2.9606499407348879</v>
      </c>
      <c r="T631" s="66">
        <v>2.9660884123401048</v>
      </c>
      <c r="U631" s="67">
        <f t="shared" si="29"/>
        <v>2.9633691765374963</v>
      </c>
      <c r="V631" s="66">
        <v>3.013315936952714</v>
      </c>
    </row>
    <row r="632" spans="1:22">
      <c r="A632" s="33" t="s">
        <v>128</v>
      </c>
      <c r="B632" s="37" t="s">
        <v>65</v>
      </c>
      <c r="C632" s="37" t="s">
        <v>21</v>
      </c>
      <c r="D632" s="58">
        <v>40</v>
      </c>
      <c r="E632" s="35">
        <v>10000</v>
      </c>
      <c r="F632" s="35">
        <v>23</v>
      </c>
      <c r="G632" s="37">
        <v>1</v>
      </c>
      <c r="H632" s="33" t="s">
        <v>197</v>
      </c>
      <c r="I632" s="33">
        <v>1</v>
      </c>
      <c r="J632" s="33">
        <v>1</v>
      </c>
      <c r="K632" s="33" t="s">
        <v>275</v>
      </c>
      <c r="L632" s="33" t="s">
        <v>154</v>
      </c>
      <c r="M632" s="48" t="s">
        <v>384</v>
      </c>
      <c r="N632" s="35">
        <v>9.7999999999999997E-3</v>
      </c>
      <c r="O632" s="51">
        <v>2.8379999999999939</v>
      </c>
      <c r="P632" s="51">
        <v>2.8379999999999939</v>
      </c>
      <c r="Q632" s="64">
        <v>1</v>
      </c>
      <c r="R632" s="76">
        <v>2.9091329399514061</v>
      </c>
      <c r="S632" s="76">
        <v>2.9091329399514061</v>
      </c>
      <c r="T632" s="66">
        <v>2.719054231433506</v>
      </c>
      <c r="U632" s="67">
        <f t="shared" si="29"/>
        <v>2.814093585692456</v>
      </c>
      <c r="V632" s="66">
        <v>2.8386150457472041</v>
      </c>
    </row>
    <row r="633" spans="1:22">
      <c r="A633" s="33" t="s">
        <v>128</v>
      </c>
      <c r="B633" s="37" t="s">
        <v>65</v>
      </c>
      <c r="C633" s="37" t="s">
        <v>21</v>
      </c>
      <c r="D633" s="58">
        <v>40</v>
      </c>
      <c r="E633" s="35">
        <v>10000</v>
      </c>
      <c r="F633" s="35">
        <v>23</v>
      </c>
      <c r="G633" s="37">
        <v>1</v>
      </c>
      <c r="H633" s="33" t="s">
        <v>197</v>
      </c>
      <c r="I633" s="33">
        <v>2</v>
      </c>
      <c r="J633" s="33">
        <v>2</v>
      </c>
      <c r="K633" s="33" t="s">
        <v>276</v>
      </c>
      <c r="L633" s="33" t="s">
        <v>155</v>
      </c>
      <c r="M633" s="48" t="s">
        <v>384</v>
      </c>
      <c r="N633" s="35">
        <v>0</v>
      </c>
      <c r="O633" s="51">
        <v>0.78399999999999181</v>
      </c>
      <c r="P633" s="51">
        <v>0.78399999999999181</v>
      </c>
      <c r="Q633" s="64">
        <v>1</v>
      </c>
      <c r="R633" s="76">
        <v>2.812553941908714</v>
      </c>
      <c r="S633" s="76">
        <v>2.812553941908714</v>
      </c>
      <c r="T633" s="66">
        <v>2.6680382758620689</v>
      </c>
      <c r="U633" s="67">
        <f t="shared" si="29"/>
        <v>2.7402961088853912</v>
      </c>
      <c r="V633" s="66">
        <v>2.749008573388203</v>
      </c>
    </row>
    <row r="634" spans="1:22">
      <c r="A634" s="33" t="s">
        <v>128</v>
      </c>
      <c r="B634" s="37" t="s">
        <v>65</v>
      </c>
      <c r="C634" s="37" t="s">
        <v>21</v>
      </c>
      <c r="D634" s="58">
        <v>40</v>
      </c>
      <c r="E634" s="35">
        <v>10000</v>
      </c>
      <c r="F634" s="35">
        <v>23</v>
      </c>
      <c r="G634" s="37">
        <v>1</v>
      </c>
      <c r="H634" s="33" t="s">
        <v>197</v>
      </c>
      <c r="I634" s="33">
        <v>3</v>
      </c>
      <c r="J634" s="33">
        <v>3</v>
      </c>
      <c r="K634" s="33" t="s">
        <v>275</v>
      </c>
      <c r="L634" s="33" t="s">
        <v>158</v>
      </c>
      <c r="M634" s="48" t="s">
        <v>384</v>
      </c>
      <c r="N634" s="35">
        <v>1.04E-2</v>
      </c>
      <c r="O634" s="51">
        <v>2.0319999999999254</v>
      </c>
      <c r="P634" s="51">
        <v>2.0319999999999254</v>
      </c>
      <c r="Q634" s="64">
        <v>1</v>
      </c>
      <c r="R634" s="76">
        <v>3.0570079255685738</v>
      </c>
      <c r="S634" s="76">
        <v>3.0570079255685738</v>
      </c>
      <c r="T634" s="66">
        <v>2.822940283051433</v>
      </c>
      <c r="U634" s="67">
        <f t="shared" si="29"/>
        <v>2.9399741043100036</v>
      </c>
      <c r="V634" s="66">
        <v>2.952682610181073</v>
      </c>
    </row>
    <row r="635" spans="1:22">
      <c r="A635" s="33" t="s">
        <v>128</v>
      </c>
      <c r="B635" s="37" t="s">
        <v>65</v>
      </c>
      <c r="C635" s="37" t="s">
        <v>21</v>
      </c>
      <c r="D635" s="58">
        <v>40</v>
      </c>
      <c r="E635" s="35">
        <v>10000</v>
      </c>
      <c r="F635" s="35">
        <v>23</v>
      </c>
      <c r="G635" s="37">
        <v>1</v>
      </c>
      <c r="H635" s="33" t="s">
        <v>197</v>
      </c>
      <c r="I635" s="33">
        <v>4</v>
      </c>
      <c r="J635" s="33">
        <v>4</v>
      </c>
      <c r="K635" s="33" t="s">
        <v>276</v>
      </c>
      <c r="L635" s="33" t="s">
        <v>157</v>
      </c>
      <c r="M635" s="48" t="s">
        <v>384</v>
      </c>
      <c r="N635" s="35">
        <v>0</v>
      </c>
      <c r="O635" s="51">
        <v>0.99400000000002819</v>
      </c>
      <c r="P635" s="51">
        <v>0.99400000000002819</v>
      </c>
      <c r="Q635" s="64">
        <v>1</v>
      </c>
      <c r="R635" s="76">
        <v>2.9534316695352838</v>
      </c>
      <c r="S635" s="76">
        <v>2.9534316695352838</v>
      </c>
      <c r="T635" s="66">
        <v>2.7687342295760078</v>
      </c>
      <c r="U635" s="67">
        <f t="shared" si="29"/>
        <v>2.8610829495556458</v>
      </c>
      <c r="V635" s="66">
        <v>2.8736016977928691</v>
      </c>
    </row>
    <row r="636" spans="1:22">
      <c r="A636" s="33" t="s">
        <v>128</v>
      </c>
      <c r="B636" s="37" t="s">
        <v>65</v>
      </c>
      <c r="C636" s="37" t="s">
        <v>21</v>
      </c>
      <c r="D636" s="58">
        <v>40</v>
      </c>
      <c r="E636" s="35">
        <v>10000</v>
      </c>
      <c r="F636" s="35">
        <v>23</v>
      </c>
      <c r="G636" s="37">
        <v>1</v>
      </c>
      <c r="H636" s="33" t="s">
        <v>197</v>
      </c>
      <c r="I636" s="33">
        <v>5</v>
      </c>
      <c r="J636" s="33"/>
      <c r="K636" s="33" t="s">
        <v>276</v>
      </c>
      <c r="L636" s="33" t="s">
        <v>156</v>
      </c>
      <c r="M636" s="48" t="s">
        <v>384</v>
      </c>
      <c r="N636" s="35">
        <v>0.24060000000000001</v>
      </c>
      <c r="O636" s="51"/>
      <c r="P636" s="51"/>
      <c r="Q636" s="64"/>
      <c r="R636" s="76">
        <v>2.9656317815890789</v>
      </c>
      <c r="S636" s="76">
        <v>2.9656317815890789</v>
      </c>
      <c r="T636" s="66">
        <v>2.7821684763572678</v>
      </c>
      <c r="U636" s="67">
        <f t="shared" si="29"/>
        <v>2.8739001289731734</v>
      </c>
      <c r="V636" s="66">
        <v>2.8892865937072512</v>
      </c>
    </row>
    <row r="637" spans="1:22">
      <c r="A637" s="33" t="s">
        <v>128</v>
      </c>
      <c r="B637" s="37" t="s">
        <v>65</v>
      </c>
      <c r="C637" s="37" t="s">
        <v>21</v>
      </c>
      <c r="D637" s="58">
        <v>40</v>
      </c>
      <c r="E637" s="35">
        <v>10000</v>
      </c>
      <c r="F637" s="35">
        <v>23</v>
      </c>
      <c r="G637" s="37">
        <v>1</v>
      </c>
      <c r="H637" s="33" t="s">
        <v>197</v>
      </c>
      <c r="I637" s="33">
        <v>6</v>
      </c>
      <c r="J637" s="33">
        <v>5</v>
      </c>
      <c r="K637" s="33" t="s">
        <v>275</v>
      </c>
      <c r="L637" s="33" t="s">
        <v>153</v>
      </c>
      <c r="M637" s="48" t="s">
        <v>384</v>
      </c>
      <c r="N637" s="35">
        <v>8.6199999999999999E-2</v>
      </c>
      <c r="O637" s="51">
        <v>2.5960000000000036</v>
      </c>
      <c r="P637" s="51">
        <v>2.5960000000000036</v>
      </c>
      <c r="Q637" s="64">
        <v>1</v>
      </c>
      <c r="R637" s="76">
        <v>2.795773120886734</v>
      </c>
      <c r="S637" s="76">
        <v>2.795773120886734</v>
      </c>
      <c r="T637" s="66">
        <v>2.6359554711770801</v>
      </c>
      <c r="U637" s="67">
        <f t="shared" si="29"/>
        <v>2.7158642960319073</v>
      </c>
      <c r="V637" s="66">
        <v>2.7332594484167512</v>
      </c>
    </row>
    <row r="638" spans="1:22">
      <c r="A638" s="33" t="s">
        <v>128</v>
      </c>
      <c r="B638" s="37" t="s">
        <v>65</v>
      </c>
      <c r="C638" s="37" t="s">
        <v>22</v>
      </c>
      <c r="D638" s="58">
        <v>40</v>
      </c>
      <c r="E638" s="35">
        <v>10000</v>
      </c>
      <c r="F638" s="35">
        <v>23</v>
      </c>
      <c r="G638" s="37">
        <v>2</v>
      </c>
      <c r="H638" s="33" t="s">
        <v>194</v>
      </c>
      <c r="I638" s="33">
        <v>1</v>
      </c>
      <c r="J638" s="33">
        <v>1</v>
      </c>
      <c r="K638" s="33" t="s">
        <v>275</v>
      </c>
      <c r="L638" s="33" t="s">
        <v>153</v>
      </c>
      <c r="M638" s="48" t="s">
        <v>385</v>
      </c>
      <c r="N638" s="35">
        <v>0</v>
      </c>
      <c r="O638" s="51">
        <v>5.0600000000000023</v>
      </c>
      <c r="P638" s="51">
        <v>5.0600000000000023</v>
      </c>
      <c r="Q638" s="64">
        <v>1</v>
      </c>
      <c r="R638" s="76">
        <v>3.052528835690969</v>
      </c>
      <c r="S638" s="76">
        <v>3.052528835690969</v>
      </c>
      <c r="T638" s="66">
        <v>2.839767513736263</v>
      </c>
      <c r="U638" s="67">
        <f t="shared" si="29"/>
        <v>2.946148174713616</v>
      </c>
      <c r="V638" s="66">
        <v>2.9502300884955752</v>
      </c>
    </row>
    <row r="639" spans="1:22">
      <c r="A639" s="33" t="s">
        <v>128</v>
      </c>
      <c r="B639" s="37" t="s">
        <v>65</v>
      </c>
      <c r="C639" s="37" t="s">
        <v>22</v>
      </c>
      <c r="D639" s="58">
        <v>40</v>
      </c>
      <c r="E639" s="35">
        <v>10000</v>
      </c>
      <c r="F639" s="35">
        <v>23</v>
      </c>
      <c r="G639" s="37">
        <v>2</v>
      </c>
      <c r="H639" s="33" t="s">
        <v>194</v>
      </c>
      <c r="I639" s="33">
        <v>2</v>
      </c>
      <c r="J639" s="33">
        <v>2</v>
      </c>
      <c r="K639" s="33" t="s">
        <v>276</v>
      </c>
      <c r="L639" s="33" t="s">
        <v>154</v>
      </c>
      <c r="M639" s="48" t="s">
        <v>385</v>
      </c>
      <c r="N639" s="35">
        <v>0.29520000000000002</v>
      </c>
      <c r="O639" s="51">
        <v>2.8799999999999955</v>
      </c>
      <c r="P639" s="51">
        <v>2.8799999999999955</v>
      </c>
      <c r="Q639" s="64">
        <v>1</v>
      </c>
      <c r="R639" s="76">
        <v>2.9447059262020132</v>
      </c>
      <c r="S639" s="76">
        <v>2.9447059262020132</v>
      </c>
      <c r="T639" s="66">
        <v>2.7474777662874872</v>
      </c>
      <c r="U639" s="67">
        <f t="shared" si="29"/>
        <v>2.8460918462447502</v>
      </c>
      <c r="V639" s="66">
        <v>2.844108339029392</v>
      </c>
    </row>
    <row r="640" spans="1:22">
      <c r="A640" s="33" t="s">
        <v>128</v>
      </c>
      <c r="B640" s="37" t="s">
        <v>65</v>
      </c>
      <c r="C640" s="37" t="s">
        <v>22</v>
      </c>
      <c r="D640" s="58">
        <v>40</v>
      </c>
      <c r="E640" s="35">
        <v>10000</v>
      </c>
      <c r="F640" s="35">
        <v>23</v>
      </c>
      <c r="G640" s="37">
        <v>2</v>
      </c>
      <c r="H640" s="33" t="s">
        <v>194</v>
      </c>
      <c r="I640" s="33">
        <v>3</v>
      </c>
      <c r="J640" s="33">
        <v>3</v>
      </c>
      <c r="K640" s="33" t="s">
        <v>276</v>
      </c>
      <c r="L640" s="33" t="s">
        <v>155</v>
      </c>
      <c r="M640" s="49" t="s">
        <v>205</v>
      </c>
      <c r="N640" s="35">
        <v>3.7499999999999999E-2</v>
      </c>
      <c r="O640" s="51">
        <v>2.4499999999999318</v>
      </c>
      <c r="P640" s="51">
        <v>2.4499999999999318</v>
      </c>
      <c r="Q640" s="64">
        <v>1</v>
      </c>
      <c r="R640" s="76">
        <v>3.012699341877382</v>
      </c>
      <c r="S640" s="76">
        <v>3.012699341877382</v>
      </c>
      <c r="T640" s="66">
        <v>2.8322704099207718</v>
      </c>
      <c r="U640" s="67">
        <f t="shared" si="29"/>
        <v>2.9224848758990767</v>
      </c>
      <c r="V640" s="66">
        <v>2.9291015678254939</v>
      </c>
    </row>
    <row r="641" spans="1:22">
      <c r="A641" s="33" t="s">
        <v>128</v>
      </c>
      <c r="B641" s="37" t="s">
        <v>65</v>
      </c>
      <c r="C641" s="37" t="s">
        <v>22</v>
      </c>
      <c r="D641" s="58">
        <v>40</v>
      </c>
      <c r="E641" s="35">
        <v>10000</v>
      </c>
      <c r="F641" s="35">
        <v>23</v>
      </c>
      <c r="G641" s="37">
        <v>2</v>
      </c>
      <c r="H641" s="33" t="s">
        <v>194</v>
      </c>
      <c r="I641" s="33">
        <v>4</v>
      </c>
      <c r="J641" s="33"/>
      <c r="K641" s="33" t="s">
        <v>275</v>
      </c>
      <c r="L641" s="33" t="s">
        <v>156</v>
      </c>
      <c r="M641" s="48" t="s">
        <v>205</v>
      </c>
      <c r="N641" s="35"/>
      <c r="O641" s="51"/>
      <c r="P641" s="51"/>
      <c r="Q641" s="64"/>
      <c r="R641" s="76">
        <v>4.05</v>
      </c>
      <c r="S641" s="76">
        <v>4.05</v>
      </c>
      <c r="T641" s="66">
        <v>3.6909999999999998</v>
      </c>
      <c r="U641" s="67">
        <f t="shared" si="29"/>
        <v>3.8704999999999998</v>
      </c>
      <c r="V641" s="66">
        <v>3.871</v>
      </c>
    </row>
    <row r="642" spans="1:22">
      <c r="A642" s="33" t="s">
        <v>128</v>
      </c>
      <c r="B642" s="37" t="s">
        <v>65</v>
      </c>
      <c r="C642" s="37" t="s">
        <v>22</v>
      </c>
      <c r="D642" s="58">
        <v>40</v>
      </c>
      <c r="E642" s="35">
        <v>10000</v>
      </c>
      <c r="F642" s="35">
        <v>23</v>
      </c>
      <c r="G642" s="37">
        <v>2</v>
      </c>
      <c r="H642" s="33" t="s">
        <v>194</v>
      </c>
      <c r="I642" s="33">
        <v>5</v>
      </c>
      <c r="J642" s="33">
        <v>4</v>
      </c>
      <c r="K642" s="33" t="s">
        <v>276</v>
      </c>
      <c r="L642" s="33" t="s">
        <v>157</v>
      </c>
      <c r="M642" s="48" t="s">
        <v>205</v>
      </c>
      <c r="N642" s="35"/>
      <c r="O642" s="51" t="s">
        <v>394</v>
      </c>
      <c r="P642" s="51" t="s">
        <v>394</v>
      </c>
      <c r="Q642" s="64" t="s">
        <v>274</v>
      </c>
    </row>
    <row r="643" spans="1:22">
      <c r="A643" s="33" t="s">
        <v>128</v>
      </c>
      <c r="B643" s="37" t="s">
        <v>65</v>
      </c>
      <c r="C643" s="37" t="s">
        <v>22</v>
      </c>
      <c r="D643" s="58">
        <v>40</v>
      </c>
      <c r="E643" s="35">
        <v>10000</v>
      </c>
      <c r="F643" s="35">
        <v>23</v>
      </c>
      <c r="G643" s="37">
        <v>2</v>
      </c>
      <c r="H643" s="33" t="s">
        <v>194</v>
      </c>
      <c r="I643" s="33">
        <v>6</v>
      </c>
      <c r="J643" s="33">
        <v>5</v>
      </c>
      <c r="K643" s="33" t="s">
        <v>275</v>
      </c>
      <c r="L643" s="33" t="s">
        <v>158</v>
      </c>
      <c r="M643" s="48" t="s">
        <v>205</v>
      </c>
      <c r="N643" s="35">
        <v>4.0000000000000002E-4</v>
      </c>
      <c r="O643" s="51">
        <v>2.9900000000000091</v>
      </c>
      <c r="P643" s="51">
        <v>2.9900000000000091</v>
      </c>
      <c r="Q643" s="64">
        <v>1</v>
      </c>
      <c r="R643" s="76">
        <v>3.146650235592606</v>
      </c>
      <c r="S643" s="76">
        <v>3.146650235592606</v>
      </c>
      <c r="T643" s="66">
        <v>2.9465255830142709</v>
      </c>
      <c r="U643" s="67">
        <f t="shared" ref="U643:U653" si="30">AVERAGE(S643:T643)</f>
        <v>3.0465879093034385</v>
      </c>
      <c r="V643" s="66">
        <v>3.048050359712231</v>
      </c>
    </row>
    <row r="644" spans="1:22">
      <c r="A644" s="33" t="s">
        <v>128</v>
      </c>
      <c r="B644" s="37" t="s">
        <v>65</v>
      </c>
      <c r="C644" s="37" t="s">
        <v>14</v>
      </c>
      <c r="D644" s="58">
        <v>40</v>
      </c>
      <c r="E644" s="35">
        <v>10000</v>
      </c>
      <c r="F644" s="35">
        <v>23</v>
      </c>
      <c r="G644" s="37">
        <v>3</v>
      </c>
      <c r="H644" s="33" t="s">
        <v>199</v>
      </c>
      <c r="I644" s="33">
        <v>1</v>
      </c>
      <c r="J644" s="33"/>
      <c r="K644" s="33" t="s">
        <v>276</v>
      </c>
      <c r="L644" s="33" t="s">
        <v>156</v>
      </c>
      <c r="M644" s="43" t="s">
        <v>386</v>
      </c>
      <c r="N644" s="35"/>
      <c r="O644" s="51"/>
      <c r="P644" s="51"/>
      <c r="Q644" s="64"/>
      <c r="R644" s="76">
        <v>4.3010000000000002</v>
      </c>
      <c r="S644" s="76">
        <v>4.3010000000000002</v>
      </c>
      <c r="T644" s="66">
        <v>3.9990000000000001</v>
      </c>
      <c r="U644" s="67">
        <f t="shared" si="30"/>
        <v>4.1500000000000004</v>
      </c>
      <c r="V644" s="66">
        <v>4.1500000000000004</v>
      </c>
    </row>
    <row r="645" spans="1:22">
      <c r="A645" s="33" t="s">
        <v>128</v>
      </c>
      <c r="B645" s="37" t="s">
        <v>65</v>
      </c>
      <c r="C645" s="37" t="s">
        <v>14</v>
      </c>
      <c r="D645" s="58">
        <v>40</v>
      </c>
      <c r="E645" s="35">
        <v>10000</v>
      </c>
      <c r="F645" s="35">
        <v>23</v>
      </c>
      <c r="G645" s="37">
        <v>3</v>
      </c>
      <c r="H645" s="33" t="s">
        <v>199</v>
      </c>
      <c r="I645" s="33">
        <v>2</v>
      </c>
      <c r="J645" s="33">
        <v>1</v>
      </c>
      <c r="K645" s="33" t="s">
        <v>275</v>
      </c>
      <c r="L645" s="33" t="s">
        <v>157</v>
      </c>
      <c r="M645" s="43" t="s">
        <v>386</v>
      </c>
      <c r="N645" s="35">
        <v>0</v>
      </c>
      <c r="O645" s="51">
        <v>5.3799999999999955</v>
      </c>
      <c r="P645" s="51">
        <v>5.3799999999999955</v>
      </c>
      <c r="Q645" s="64">
        <v>1</v>
      </c>
      <c r="R645" s="76">
        <v>3.1582150349650351</v>
      </c>
      <c r="S645" s="76">
        <v>3.1582150349650351</v>
      </c>
      <c r="T645" s="66">
        <v>2.9194065436825611</v>
      </c>
      <c r="U645" s="67">
        <f t="shared" si="30"/>
        <v>3.0388107893237981</v>
      </c>
      <c r="V645" s="66">
        <v>3.045914659325534</v>
      </c>
    </row>
    <row r="646" spans="1:22">
      <c r="A646" s="33" t="s">
        <v>128</v>
      </c>
      <c r="B646" s="37" t="s">
        <v>65</v>
      </c>
      <c r="C646" s="37" t="s">
        <v>14</v>
      </c>
      <c r="D646" s="58">
        <v>40</v>
      </c>
      <c r="E646" s="35">
        <v>10000</v>
      </c>
      <c r="F646" s="35">
        <v>23</v>
      </c>
      <c r="G646" s="37">
        <v>3</v>
      </c>
      <c r="H646" s="33" t="s">
        <v>199</v>
      </c>
      <c r="I646" s="33">
        <v>3</v>
      </c>
      <c r="J646" s="33">
        <v>2</v>
      </c>
      <c r="K646" s="33" t="s">
        <v>276</v>
      </c>
      <c r="L646" s="33" t="s">
        <v>153</v>
      </c>
      <c r="M646" s="43" t="s">
        <v>204</v>
      </c>
      <c r="N646" s="35">
        <v>0.34150000000000003</v>
      </c>
      <c r="O646" s="51">
        <v>7.2199999999999136</v>
      </c>
      <c r="P646" s="51">
        <v>7.2199999999999136</v>
      </c>
      <c r="Q646" s="64">
        <v>1</v>
      </c>
      <c r="R646" s="76">
        <v>3.0497886490250701</v>
      </c>
      <c r="S646" s="76">
        <v>3.0497886490250701</v>
      </c>
      <c r="T646" s="66">
        <v>2.8263253721010728</v>
      </c>
      <c r="U646" s="67">
        <f t="shared" si="30"/>
        <v>2.9380570105630714</v>
      </c>
      <c r="V646" s="66">
        <v>2.9495592465753422</v>
      </c>
    </row>
    <row r="647" spans="1:22">
      <c r="A647" s="33" t="s">
        <v>128</v>
      </c>
      <c r="B647" s="37" t="s">
        <v>65</v>
      </c>
      <c r="C647" s="37" t="s">
        <v>14</v>
      </c>
      <c r="D647" s="58">
        <v>40</v>
      </c>
      <c r="E647" s="35">
        <v>10000</v>
      </c>
      <c r="F647" s="35">
        <v>23</v>
      </c>
      <c r="G647" s="37">
        <v>3</v>
      </c>
      <c r="H647" s="33" t="s">
        <v>199</v>
      </c>
      <c r="I647" s="33">
        <v>4</v>
      </c>
      <c r="J647" s="33">
        <v>3</v>
      </c>
      <c r="K647" s="33" t="s">
        <v>276</v>
      </c>
      <c r="L647" s="33" t="s">
        <v>158</v>
      </c>
      <c r="M647" s="43" t="s">
        <v>204</v>
      </c>
      <c r="N647" s="35">
        <v>2.3999999999999998E-3</v>
      </c>
      <c r="O647" s="51">
        <v>2.5900000000000318</v>
      </c>
      <c r="P647" s="51">
        <v>2.5900000000000318</v>
      </c>
      <c r="Q647" s="64">
        <v>1</v>
      </c>
      <c r="R647" s="76">
        <v>2.8363726169844021</v>
      </c>
      <c r="S647" s="76">
        <v>2.8363726169844021</v>
      </c>
      <c r="T647" s="66">
        <v>2.6715529330093721</v>
      </c>
      <c r="U647" s="67">
        <f t="shared" si="30"/>
        <v>2.7539627749968871</v>
      </c>
      <c r="V647" s="66">
        <v>2.765027036276523</v>
      </c>
    </row>
    <row r="648" spans="1:22">
      <c r="A648" s="33" t="s">
        <v>128</v>
      </c>
      <c r="B648" s="37" t="s">
        <v>65</v>
      </c>
      <c r="C648" s="37" t="s">
        <v>14</v>
      </c>
      <c r="D648" s="58">
        <v>40</v>
      </c>
      <c r="E648" s="35">
        <v>10000</v>
      </c>
      <c r="F648" s="35">
        <v>23</v>
      </c>
      <c r="G648" s="37">
        <v>3</v>
      </c>
      <c r="H648" s="33" t="s">
        <v>199</v>
      </c>
      <c r="I648" s="33">
        <v>5</v>
      </c>
      <c r="J648" s="33">
        <v>4</v>
      </c>
      <c r="K648" s="33" t="s">
        <v>275</v>
      </c>
      <c r="L648" s="33" t="s">
        <v>155</v>
      </c>
      <c r="M648" s="43" t="s">
        <v>204</v>
      </c>
      <c r="N648" s="35">
        <v>0.29599999999999999</v>
      </c>
      <c r="O648" s="51">
        <v>2.2899999999999636</v>
      </c>
      <c r="P648" s="51">
        <v>2.2899999999999636</v>
      </c>
      <c r="Q648" s="64">
        <v>1</v>
      </c>
      <c r="R648" s="76">
        <v>2.8602596355991592</v>
      </c>
      <c r="S648" s="76">
        <v>2.8602596355991592</v>
      </c>
      <c r="T648" s="66">
        <v>2.700209480655281</v>
      </c>
      <c r="U648" s="67">
        <f t="shared" si="30"/>
        <v>2.7802345581272201</v>
      </c>
      <c r="V648" s="66">
        <v>2.78773466574776</v>
      </c>
    </row>
    <row r="649" spans="1:22">
      <c r="A649" s="33" t="s">
        <v>128</v>
      </c>
      <c r="B649" s="37" t="s">
        <v>65</v>
      </c>
      <c r="C649" s="37" t="s">
        <v>14</v>
      </c>
      <c r="D649" s="58">
        <v>40</v>
      </c>
      <c r="E649" s="35">
        <v>10000</v>
      </c>
      <c r="F649" s="35">
        <v>23</v>
      </c>
      <c r="G649" s="37">
        <v>3</v>
      </c>
      <c r="H649" s="33" t="s">
        <v>199</v>
      </c>
      <c r="I649" s="33">
        <v>6</v>
      </c>
      <c r="J649" s="33">
        <v>5</v>
      </c>
      <c r="K649" s="33" t="s">
        <v>275</v>
      </c>
      <c r="L649" s="33" t="s">
        <v>154</v>
      </c>
      <c r="M649" s="43" t="s">
        <v>204</v>
      </c>
      <c r="N649" s="35">
        <v>6.3E-3</v>
      </c>
      <c r="O649" s="51">
        <v>5.4200000000000728</v>
      </c>
      <c r="P649" s="51">
        <v>5.4200000000000728</v>
      </c>
      <c r="Q649" s="64">
        <v>1</v>
      </c>
      <c r="R649" s="76">
        <v>2.9179224318658279</v>
      </c>
      <c r="S649" s="76">
        <v>2.9179224318658279</v>
      </c>
      <c r="T649" s="66">
        <v>2.7470107452339692</v>
      </c>
      <c r="U649" s="67">
        <f t="shared" si="30"/>
        <v>2.8324665885498987</v>
      </c>
      <c r="V649" s="66">
        <v>2.8356077556623198</v>
      </c>
    </row>
    <row r="650" spans="1:22">
      <c r="A650" s="32" t="s">
        <v>69</v>
      </c>
      <c r="B650" s="35" t="s">
        <v>65</v>
      </c>
      <c r="C650" s="35" t="s">
        <v>14</v>
      </c>
      <c r="D650" s="58">
        <v>25</v>
      </c>
      <c r="E650" s="35">
        <v>12000</v>
      </c>
      <c r="F650" s="35">
        <v>3.5</v>
      </c>
      <c r="G650" s="35">
        <v>1</v>
      </c>
      <c r="H650" s="32" t="s">
        <v>197</v>
      </c>
      <c r="I650" s="32">
        <v>1</v>
      </c>
      <c r="J650" s="32">
        <v>1</v>
      </c>
      <c r="K650" s="32" t="s">
        <v>275</v>
      </c>
      <c r="L650" s="32" t="s">
        <v>154</v>
      </c>
      <c r="M650" s="46" t="s">
        <v>387</v>
      </c>
      <c r="N650" s="35">
        <v>0</v>
      </c>
      <c r="O650" s="51">
        <v>7.7800000000000011</v>
      </c>
      <c r="P650" s="51">
        <v>7.7800000000000011</v>
      </c>
      <c r="Q650" s="64">
        <v>1</v>
      </c>
      <c r="R650" s="76">
        <v>2.7097047095221729</v>
      </c>
      <c r="S650" s="76">
        <v>2.7097047095221729</v>
      </c>
      <c r="T650" s="66">
        <v>2.8055377777777779</v>
      </c>
      <c r="U650" s="67">
        <f t="shared" si="30"/>
        <v>2.7576212436499752</v>
      </c>
      <c r="V650" s="66">
        <v>2.7590023728813562</v>
      </c>
    </row>
    <row r="651" spans="1:22">
      <c r="A651" s="35" t="s">
        <v>69</v>
      </c>
      <c r="B651" s="35" t="s">
        <v>65</v>
      </c>
      <c r="C651" s="35" t="s">
        <v>14</v>
      </c>
      <c r="D651" s="58">
        <v>25</v>
      </c>
      <c r="E651" s="35">
        <v>12000</v>
      </c>
      <c r="F651" s="35">
        <v>3.5</v>
      </c>
      <c r="G651" s="35">
        <v>1</v>
      </c>
      <c r="H651" s="35" t="s">
        <v>197</v>
      </c>
      <c r="I651" s="35">
        <v>2</v>
      </c>
      <c r="J651" s="35">
        <v>2</v>
      </c>
      <c r="K651" s="35" t="s">
        <v>276</v>
      </c>
      <c r="L651" s="35" t="s">
        <v>155</v>
      </c>
      <c r="M651" s="47" t="s">
        <v>387</v>
      </c>
      <c r="N651" s="35">
        <v>0</v>
      </c>
      <c r="O651" s="51">
        <v>2.539000000000101</v>
      </c>
      <c r="P651" s="51">
        <v>2.539000000000101</v>
      </c>
      <c r="Q651" s="64">
        <v>1</v>
      </c>
      <c r="R651" s="76">
        <v>2.554355276552426</v>
      </c>
      <c r="S651" s="76">
        <v>2.554355276552426</v>
      </c>
      <c r="T651" s="66">
        <v>2.6447468739439</v>
      </c>
      <c r="U651" s="67">
        <f t="shared" si="30"/>
        <v>2.5995510752481632</v>
      </c>
      <c r="V651" s="66">
        <v>2.6002842316705732</v>
      </c>
    </row>
    <row r="652" spans="1:22">
      <c r="A652" s="35" t="s">
        <v>69</v>
      </c>
      <c r="B652" s="35" t="s">
        <v>65</v>
      </c>
      <c r="C652" s="35" t="s">
        <v>14</v>
      </c>
      <c r="D652" s="58">
        <v>25</v>
      </c>
      <c r="E652" s="35">
        <v>12000</v>
      </c>
      <c r="F652" s="35">
        <v>3.5</v>
      </c>
      <c r="G652" s="35">
        <v>1</v>
      </c>
      <c r="H652" s="35" t="s">
        <v>197</v>
      </c>
      <c r="I652" s="35">
        <v>3</v>
      </c>
      <c r="J652" s="35">
        <v>3</v>
      </c>
      <c r="K652" s="35" t="s">
        <v>275</v>
      </c>
      <c r="L652" s="35" t="s">
        <v>158</v>
      </c>
      <c r="M652" s="47" t="s">
        <v>387</v>
      </c>
      <c r="N652" s="35">
        <v>0</v>
      </c>
      <c r="O652" s="51">
        <v>3.45900000000006</v>
      </c>
      <c r="P652" s="51">
        <v>3.45900000000006</v>
      </c>
      <c r="Q652" s="64">
        <v>1</v>
      </c>
      <c r="R652" s="76">
        <v>2.5542521382141641</v>
      </c>
      <c r="S652" s="76">
        <v>2.5542521382141641</v>
      </c>
      <c r="T652" s="66">
        <v>2.6434762546311892</v>
      </c>
      <c r="U652" s="67">
        <f t="shared" si="30"/>
        <v>2.5988641964226766</v>
      </c>
      <c r="V652" s="66">
        <v>2.6009689171122989</v>
      </c>
    </row>
    <row r="653" spans="1:22">
      <c r="A653" s="35" t="s">
        <v>69</v>
      </c>
      <c r="B653" s="35" t="s">
        <v>65</v>
      </c>
      <c r="C653" s="35" t="s">
        <v>14</v>
      </c>
      <c r="D653" s="58">
        <v>25</v>
      </c>
      <c r="E653" s="35">
        <v>12000</v>
      </c>
      <c r="F653" s="35">
        <v>3.5</v>
      </c>
      <c r="G653" s="35">
        <v>1</v>
      </c>
      <c r="H653" s="35" t="s">
        <v>197</v>
      </c>
      <c r="I653" s="35">
        <v>4</v>
      </c>
      <c r="J653" s="35">
        <v>4</v>
      </c>
      <c r="K653" s="35" t="s">
        <v>276</v>
      </c>
      <c r="L653" s="35" t="s">
        <v>157</v>
      </c>
      <c r="M653" s="47" t="s">
        <v>387</v>
      </c>
      <c r="N653" s="35">
        <v>0</v>
      </c>
      <c r="O653" s="51">
        <v>5.7820000000000391</v>
      </c>
      <c r="P653" s="51">
        <v>5.7820000000000391</v>
      </c>
      <c r="Q653" s="64">
        <v>1</v>
      </c>
      <c r="R653" s="76">
        <v>2.5562077656675748</v>
      </c>
      <c r="S653" s="76">
        <v>2.5562077656675748</v>
      </c>
      <c r="T653" s="66">
        <v>2.628687964841109</v>
      </c>
      <c r="U653" s="67">
        <f t="shared" si="30"/>
        <v>2.5924478652543419</v>
      </c>
      <c r="V653" s="66">
        <v>2.592454545454546</v>
      </c>
    </row>
    <row r="654" spans="1:22">
      <c r="A654" s="35" t="s">
        <v>69</v>
      </c>
      <c r="B654" s="35" t="s">
        <v>65</v>
      </c>
      <c r="C654" s="35" t="s">
        <v>14</v>
      </c>
      <c r="D654" s="58">
        <v>25</v>
      </c>
      <c r="E654" s="35">
        <v>12000</v>
      </c>
      <c r="F654" s="35">
        <v>3.5</v>
      </c>
      <c r="G654" s="35">
        <v>1</v>
      </c>
      <c r="H654" s="35" t="s">
        <v>197</v>
      </c>
      <c r="I654" s="35">
        <v>5</v>
      </c>
      <c r="J654" s="35"/>
      <c r="K654" s="35" t="s">
        <v>276</v>
      </c>
      <c r="L654" s="35" t="s">
        <v>156</v>
      </c>
      <c r="M654" s="47" t="s">
        <v>387</v>
      </c>
      <c r="N654" s="35"/>
      <c r="O654" s="51"/>
      <c r="P654" s="51"/>
      <c r="Q654" s="64"/>
    </row>
    <row r="655" spans="1:22">
      <c r="A655" s="32" t="s">
        <v>69</v>
      </c>
      <c r="B655" s="35" t="s">
        <v>65</v>
      </c>
      <c r="C655" s="35" t="s">
        <v>14</v>
      </c>
      <c r="D655" s="58">
        <v>25</v>
      </c>
      <c r="E655" s="35">
        <v>12000</v>
      </c>
      <c r="F655" s="35">
        <v>3.5</v>
      </c>
      <c r="G655" s="35">
        <v>1</v>
      </c>
      <c r="H655" s="32" t="s">
        <v>197</v>
      </c>
      <c r="I655" s="32">
        <v>6</v>
      </c>
      <c r="J655" s="32">
        <v>5</v>
      </c>
      <c r="K655" s="32" t="s">
        <v>275</v>
      </c>
      <c r="L655" s="32" t="s">
        <v>153</v>
      </c>
      <c r="M655" s="46" t="s">
        <v>387</v>
      </c>
      <c r="N655" s="35">
        <v>0</v>
      </c>
      <c r="O655" s="51">
        <v>3.7039999999999509</v>
      </c>
      <c r="P655" s="51">
        <v>3.7039999999999509</v>
      </c>
      <c r="Q655" s="64">
        <v>1</v>
      </c>
      <c r="R655" s="76">
        <v>2.6055830102220661</v>
      </c>
      <c r="S655" s="76">
        <v>2.6055830102220661</v>
      </c>
      <c r="T655" s="66">
        <v>2.6816442906574389</v>
      </c>
      <c r="U655" s="67">
        <f t="shared" ref="U655:U661" si="31">AVERAGE(S655:T655)</f>
        <v>2.6436136504397525</v>
      </c>
      <c r="V655" s="66">
        <v>2.6468174119241188</v>
      </c>
    </row>
    <row r="656" spans="1:22">
      <c r="A656" s="32" t="s">
        <v>69</v>
      </c>
      <c r="B656" s="35" t="s">
        <v>65</v>
      </c>
      <c r="C656" s="35" t="s">
        <v>21</v>
      </c>
      <c r="D656" s="58">
        <v>25</v>
      </c>
      <c r="E656" s="35">
        <v>12000</v>
      </c>
      <c r="F656" s="35">
        <v>3.5</v>
      </c>
      <c r="G656" s="35">
        <v>2</v>
      </c>
      <c r="H656" s="32" t="s">
        <v>194</v>
      </c>
      <c r="I656" s="32">
        <v>1</v>
      </c>
      <c r="J656" s="32">
        <v>1</v>
      </c>
      <c r="K656" s="32" t="s">
        <v>275</v>
      </c>
      <c r="L656" s="32" t="s">
        <v>153</v>
      </c>
      <c r="M656" s="42" t="s">
        <v>388</v>
      </c>
      <c r="N656" s="35">
        <v>0</v>
      </c>
      <c r="O656" s="51">
        <v>7.5699999999999932</v>
      </c>
      <c r="P656" s="51">
        <v>7.5699999999999932</v>
      </c>
      <c r="Q656" s="64">
        <v>1</v>
      </c>
      <c r="R656" s="76">
        <v>2.5007831950207469</v>
      </c>
      <c r="S656" s="76">
        <v>2.5007831950207469</v>
      </c>
      <c r="T656" s="66">
        <v>2.566317373461013</v>
      </c>
      <c r="U656" s="67">
        <f t="shared" si="31"/>
        <v>2.5335502842408797</v>
      </c>
      <c r="V656" s="66">
        <v>2.5333890958347438</v>
      </c>
    </row>
    <row r="657" spans="1:22">
      <c r="A657" s="32" t="s">
        <v>69</v>
      </c>
      <c r="B657" s="35" t="s">
        <v>65</v>
      </c>
      <c r="C657" s="35" t="s">
        <v>21</v>
      </c>
      <c r="D657" s="58">
        <v>25</v>
      </c>
      <c r="E657" s="35">
        <v>12000</v>
      </c>
      <c r="F657" s="35">
        <v>3.5</v>
      </c>
      <c r="G657" s="35">
        <v>2</v>
      </c>
      <c r="H657" s="32" t="s">
        <v>194</v>
      </c>
      <c r="I657" s="32">
        <v>2</v>
      </c>
      <c r="J657" s="32">
        <v>2</v>
      </c>
      <c r="K657" s="32" t="s">
        <v>276</v>
      </c>
      <c r="L657" s="32" t="s">
        <v>154</v>
      </c>
      <c r="M657" s="42" t="s">
        <v>388</v>
      </c>
      <c r="N657" s="35">
        <v>0</v>
      </c>
      <c r="O657" s="51">
        <v>10.540000000000077</v>
      </c>
      <c r="P657" s="51">
        <v>10.540000000000077</v>
      </c>
      <c r="Q657" s="64">
        <v>1</v>
      </c>
      <c r="R657" s="76">
        <v>2.4896260302197799</v>
      </c>
      <c r="S657" s="76">
        <v>2.4896260302197799</v>
      </c>
      <c r="T657" s="66">
        <v>2.5643032870213491</v>
      </c>
      <c r="U657" s="67">
        <f t="shared" si="31"/>
        <v>2.5269646586205647</v>
      </c>
      <c r="V657" s="66">
        <v>2.5283261672824988</v>
      </c>
    </row>
    <row r="658" spans="1:22">
      <c r="A658" s="32" t="s">
        <v>69</v>
      </c>
      <c r="B658" s="35" t="s">
        <v>65</v>
      </c>
      <c r="C658" s="35" t="s">
        <v>21</v>
      </c>
      <c r="D658" s="58">
        <v>25</v>
      </c>
      <c r="E658" s="35">
        <v>12000</v>
      </c>
      <c r="F658" s="35">
        <v>3.5</v>
      </c>
      <c r="G658" s="35">
        <v>2</v>
      </c>
      <c r="H658" s="32" t="s">
        <v>194</v>
      </c>
      <c r="I658" s="32">
        <v>3</v>
      </c>
      <c r="J658" s="32">
        <v>3</v>
      </c>
      <c r="K658" s="32" t="s">
        <v>276</v>
      </c>
      <c r="L658" s="32" t="s">
        <v>155</v>
      </c>
      <c r="M658" s="42" t="s">
        <v>255</v>
      </c>
      <c r="N658" s="35">
        <v>0</v>
      </c>
      <c r="O658" s="51" t="s">
        <v>395</v>
      </c>
      <c r="P658" s="51"/>
      <c r="Q658" s="64">
        <v>0</v>
      </c>
      <c r="R658" s="76">
        <v>2.42185704443679</v>
      </c>
      <c r="S658" s="76">
        <v>2.42185704443679</v>
      </c>
      <c r="T658" s="66">
        <v>2.5077414500684001</v>
      </c>
      <c r="U658" s="67">
        <f t="shared" si="31"/>
        <v>2.464799247252595</v>
      </c>
      <c r="V658" s="66">
        <v>2.4676651937457512</v>
      </c>
    </row>
    <row r="659" spans="1:22">
      <c r="A659" s="32" t="s">
        <v>69</v>
      </c>
      <c r="B659" s="35" t="s">
        <v>65</v>
      </c>
      <c r="C659" s="35" t="s">
        <v>21</v>
      </c>
      <c r="D659" s="58">
        <v>25</v>
      </c>
      <c r="E659" s="35">
        <v>12000</v>
      </c>
      <c r="F659" s="35">
        <v>3.5</v>
      </c>
      <c r="G659" s="35">
        <v>2</v>
      </c>
      <c r="H659" s="32" t="s">
        <v>194</v>
      </c>
      <c r="I659" s="32">
        <v>4</v>
      </c>
      <c r="K659" s="32" t="s">
        <v>275</v>
      </c>
      <c r="L659" s="32" t="s">
        <v>156</v>
      </c>
      <c r="M659" s="42" t="s">
        <v>255</v>
      </c>
      <c r="N659" s="35"/>
      <c r="O659" s="51"/>
      <c r="P659" s="51"/>
      <c r="Q659" s="64"/>
      <c r="R659" s="76">
        <v>3.4430000000000001</v>
      </c>
      <c r="S659" s="76">
        <v>3.4430000000000001</v>
      </c>
      <c r="T659" s="66">
        <v>3.42</v>
      </c>
      <c r="U659" s="67">
        <f t="shared" si="31"/>
        <v>3.4314999999999998</v>
      </c>
      <c r="V659" s="66">
        <v>3.431</v>
      </c>
    </row>
    <row r="660" spans="1:22">
      <c r="A660" s="32" t="s">
        <v>69</v>
      </c>
      <c r="B660" s="35" t="s">
        <v>65</v>
      </c>
      <c r="C660" s="35" t="s">
        <v>21</v>
      </c>
      <c r="D660" s="58">
        <v>25</v>
      </c>
      <c r="E660" s="35">
        <v>12000</v>
      </c>
      <c r="F660" s="35">
        <v>3.5</v>
      </c>
      <c r="G660" s="35">
        <v>2</v>
      </c>
      <c r="H660" s="32" t="s">
        <v>194</v>
      </c>
      <c r="I660" s="32">
        <v>5</v>
      </c>
      <c r="J660" s="32">
        <v>4</v>
      </c>
      <c r="K660" s="32" t="s">
        <v>276</v>
      </c>
      <c r="L660" s="32" t="s">
        <v>157</v>
      </c>
      <c r="M660" s="42" t="s">
        <v>255</v>
      </c>
      <c r="N660" s="35">
        <v>0</v>
      </c>
      <c r="O660" s="51">
        <v>3.8799999999998818</v>
      </c>
      <c r="P660" s="51">
        <v>3.8799999999998818</v>
      </c>
      <c r="Q660" s="64">
        <v>1</v>
      </c>
      <c r="R660" s="76">
        <v>2.4786685492410871</v>
      </c>
      <c r="S660" s="76">
        <v>2.4786685492410871</v>
      </c>
      <c r="T660" s="66">
        <v>2.5884772568229528</v>
      </c>
      <c r="U660" s="67">
        <f t="shared" si="31"/>
        <v>2.5335729030320202</v>
      </c>
      <c r="V660" s="66">
        <v>2.53624183006536</v>
      </c>
    </row>
    <row r="661" spans="1:22">
      <c r="A661" s="32" t="s">
        <v>69</v>
      </c>
      <c r="B661" s="35" t="s">
        <v>65</v>
      </c>
      <c r="C661" s="35" t="s">
        <v>21</v>
      </c>
      <c r="D661" s="58">
        <v>25</v>
      </c>
      <c r="E661" s="35">
        <v>12000</v>
      </c>
      <c r="F661" s="35">
        <v>3.5</v>
      </c>
      <c r="G661" s="35">
        <v>2</v>
      </c>
      <c r="H661" s="32" t="s">
        <v>194</v>
      </c>
      <c r="I661" s="32">
        <v>6</v>
      </c>
      <c r="J661" s="32">
        <v>5</v>
      </c>
      <c r="K661" s="32" t="s">
        <v>275</v>
      </c>
      <c r="L661" s="32" t="s">
        <v>158</v>
      </c>
      <c r="M661" s="42" t="s">
        <v>255</v>
      </c>
      <c r="N661" s="35">
        <v>0</v>
      </c>
      <c r="O661" s="51">
        <v>4.2200000000000273</v>
      </c>
      <c r="P661" s="51">
        <v>4.2200000000000273</v>
      </c>
      <c r="Q661" s="64">
        <v>1</v>
      </c>
      <c r="R661" s="76">
        <v>2.3072141357592719</v>
      </c>
      <c r="S661" s="76">
        <v>2.3072141357592719</v>
      </c>
      <c r="T661" s="66">
        <v>2.39855547826087</v>
      </c>
      <c r="U661" s="67">
        <f t="shared" si="31"/>
        <v>2.3528848070100707</v>
      </c>
      <c r="V661" s="66">
        <v>2.353893877551021</v>
      </c>
    </row>
    <row r="662" spans="1:22">
      <c r="A662" s="32" t="s">
        <v>69</v>
      </c>
      <c r="B662" s="35" t="s">
        <v>65</v>
      </c>
      <c r="C662" s="35" t="s">
        <v>22</v>
      </c>
      <c r="D662" s="58">
        <v>25</v>
      </c>
      <c r="E662" s="35">
        <v>12000</v>
      </c>
      <c r="F662" s="35">
        <v>3.5</v>
      </c>
      <c r="G662" s="35">
        <v>3</v>
      </c>
      <c r="H662" s="32" t="s">
        <v>199</v>
      </c>
      <c r="I662" s="32">
        <v>1</v>
      </c>
      <c r="K662" s="32" t="s">
        <v>276</v>
      </c>
      <c r="L662" s="32" t="s">
        <v>156</v>
      </c>
      <c r="M662" s="42" t="s">
        <v>389</v>
      </c>
      <c r="N662" s="35"/>
      <c r="O662" s="51"/>
      <c r="P662" s="51"/>
      <c r="Q662" s="64"/>
    </row>
    <row r="663" spans="1:22">
      <c r="A663" s="32" t="s">
        <v>69</v>
      </c>
      <c r="B663" s="35" t="s">
        <v>65</v>
      </c>
      <c r="C663" s="35" t="s">
        <v>22</v>
      </c>
      <c r="D663" s="58">
        <v>25</v>
      </c>
      <c r="E663" s="35">
        <v>12000</v>
      </c>
      <c r="F663" s="35">
        <v>3.5</v>
      </c>
      <c r="G663" s="35">
        <v>3</v>
      </c>
      <c r="H663" s="32" t="s">
        <v>199</v>
      </c>
      <c r="I663" s="32">
        <v>2</v>
      </c>
      <c r="J663" s="32">
        <v>1</v>
      </c>
      <c r="K663" s="32" t="s">
        <v>275</v>
      </c>
      <c r="L663" s="32" t="s">
        <v>157</v>
      </c>
      <c r="M663" s="42" t="s">
        <v>389</v>
      </c>
      <c r="N663" s="35">
        <v>0</v>
      </c>
      <c r="O663" s="51">
        <v>7.9499999999999886</v>
      </c>
      <c r="P663" s="51">
        <v>7.9499999999999886</v>
      </c>
      <c r="Q663" s="64">
        <v>1</v>
      </c>
      <c r="R663" s="76">
        <v>2.498743328651686</v>
      </c>
      <c r="S663" s="76">
        <v>2.498743328651686</v>
      </c>
      <c r="T663" s="66">
        <v>2.609251813471503</v>
      </c>
      <c r="U663" s="67">
        <f t="shared" ref="U663:U679" si="32">AVERAGE(S663:T663)</f>
        <v>2.5539975710615943</v>
      </c>
      <c r="V663" s="66">
        <v>2.554497282608696</v>
      </c>
    </row>
    <row r="664" spans="1:22">
      <c r="A664" s="32" t="s">
        <v>69</v>
      </c>
      <c r="B664" s="35" t="s">
        <v>65</v>
      </c>
      <c r="C664" s="35" t="s">
        <v>22</v>
      </c>
      <c r="D664" s="58">
        <v>25</v>
      </c>
      <c r="E664" s="35">
        <v>12000</v>
      </c>
      <c r="F664" s="35">
        <v>3.5</v>
      </c>
      <c r="G664" s="35">
        <v>3</v>
      </c>
      <c r="H664" s="32" t="s">
        <v>199</v>
      </c>
      <c r="I664" s="32">
        <v>3</v>
      </c>
      <c r="J664" s="32">
        <v>2</v>
      </c>
      <c r="K664" s="32" t="s">
        <v>276</v>
      </c>
      <c r="L664" s="32" t="s">
        <v>153</v>
      </c>
      <c r="M664" s="42" t="s">
        <v>201</v>
      </c>
      <c r="N664" s="35">
        <v>0</v>
      </c>
      <c r="O664" s="51">
        <v>6.5</v>
      </c>
      <c r="P664" s="51">
        <v>6.5</v>
      </c>
      <c r="Q664" s="64">
        <v>1</v>
      </c>
      <c r="R664" s="76">
        <v>2.5297382785164451</v>
      </c>
      <c r="S664" s="76">
        <v>2.5297382785164451</v>
      </c>
      <c r="T664" s="66">
        <v>2.570940288263555</v>
      </c>
      <c r="U664" s="67">
        <f t="shared" si="32"/>
        <v>2.55033928339</v>
      </c>
      <c r="V664" s="66">
        <v>2.5515617556992178</v>
      </c>
    </row>
    <row r="665" spans="1:22">
      <c r="A665" s="32" t="s">
        <v>69</v>
      </c>
      <c r="B665" s="35" t="s">
        <v>65</v>
      </c>
      <c r="C665" s="35" t="s">
        <v>22</v>
      </c>
      <c r="D665" s="58">
        <v>25</v>
      </c>
      <c r="E665" s="35">
        <v>12000</v>
      </c>
      <c r="F665" s="35">
        <v>3.5</v>
      </c>
      <c r="G665" s="35">
        <v>3</v>
      </c>
      <c r="H665" s="32" t="s">
        <v>199</v>
      </c>
      <c r="I665" s="32">
        <v>4</v>
      </c>
      <c r="J665" s="32">
        <v>3</v>
      </c>
      <c r="K665" s="32" t="s">
        <v>276</v>
      </c>
      <c r="L665" s="32" t="s">
        <v>158</v>
      </c>
      <c r="M665" s="42" t="s">
        <v>201</v>
      </c>
      <c r="N665" s="35">
        <v>0</v>
      </c>
      <c r="O665" s="51" t="s">
        <v>395</v>
      </c>
      <c r="P665" s="51"/>
      <c r="Q665" s="64">
        <v>0</v>
      </c>
      <c r="R665" s="76">
        <v>2.4039666783584712</v>
      </c>
      <c r="S665" s="76">
        <v>2.4039666783584712</v>
      </c>
      <c r="T665" s="66">
        <v>2.4452996176572821</v>
      </c>
      <c r="U665" s="67">
        <f t="shared" si="32"/>
        <v>2.4246331480078767</v>
      </c>
      <c r="V665" s="66">
        <v>2.4297015130673998</v>
      </c>
    </row>
    <row r="666" spans="1:22">
      <c r="A666" s="32" t="s">
        <v>69</v>
      </c>
      <c r="B666" s="35" t="s">
        <v>65</v>
      </c>
      <c r="C666" s="35" t="s">
        <v>22</v>
      </c>
      <c r="D666" s="58">
        <v>25</v>
      </c>
      <c r="E666" s="35">
        <v>12000</v>
      </c>
      <c r="F666" s="35">
        <v>3.5</v>
      </c>
      <c r="G666" s="35">
        <v>3</v>
      </c>
      <c r="H666" s="32" t="s">
        <v>199</v>
      </c>
      <c r="I666" s="32">
        <v>5</v>
      </c>
      <c r="J666" s="32">
        <v>4</v>
      </c>
      <c r="K666" s="32" t="s">
        <v>275</v>
      </c>
      <c r="L666" s="32" t="s">
        <v>155</v>
      </c>
      <c r="M666" s="42" t="s">
        <v>201</v>
      </c>
      <c r="N666" s="35">
        <v>0.49890000000000001</v>
      </c>
      <c r="O666" s="51" t="s">
        <v>395</v>
      </c>
      <c r="P666" s="51"/>
      <c r="Q666" s="64">
        <v>0</v>
      </c>
      <c r="R666" s="76">
        <v>2.53841592920354</v>
      </c>
      <c r="S666" s="76">
        <v>2.53841592920354</v>
      </c>
      <c r="T666" s="66">
        <v>2.653837876106194</v>
      </c>
      <c r="U666" s="67">
        <f t="shared" si="32"/>
        <v>2.5961269026548672</v>
      </c>
      <c r="V666" s="66">
        <v>2.5979450472523631</v>
      </c>
    </row>
    <row r="667" spans="1:22">
      <c r="A667" s="32" t="s">
        <v>69</v>
      </c>
      <c r="B667" s="35" t="s">
        <v>65</v>
      </c>
      <c r="C667" s="35" t="s">
        <v>22</v>
      </c>
      <c r="D667" s="58">
        <v>25</v>
      </c>
      <c r="E667" s="35">
        <v>12000</v>
      </c>
      <c r="F667" s="35">
        <v>3.5</v>
      </c>
      <c r="G667" s="35">
        <v>3</v>
      </c>
      <c r="H667" s="32" t="s">
        <v>199</v>
      </c>
      <c r="I667" s="32">
        <v>6</v>
      </c>
      <c r="J667" s="32">
        <v>5</v>
      </c>
      <c r="K667" s="32" t="s">
        <v>275</v>
      </c>
      <c r="L667" s="32" t="s">
        <v>154</v>
      </c>
      <c r="M667" s="42" t="s">
        <v>201</v>
      </c>
      <c r="N667" s="35">
        <v>0.54330000000000001</v>
      </c>
      <c r="O667" s="51">
        <v>6.7999999999999545</v>
      </c>
      <c r="P667" s="51">
        <v>6.7999999999999545</v>
      </c>
      <c r="Q667" s="64">
        <v>1</v>
      </c>
      <c r="R667" s="76">
        <v>2.4586758649093898</v>
      </c>
      <c r="S667" s="76">
        <v>2.4586758649093898</v>
      </c>
      <c r="T667" s="66">
        <v>2.5426936152570478</v>
      </c>
      <c r="U667" s="67">
        <f t="shared" si="32"/>
        <v>2.5006847400832188</v>
      </c>
      <c r="V667" s="66">
        <v>2.510599920854768</v>
      </c>
    </row>
    <row r="668" spans="1:22">
      <c r="A668" s="33" t="s">
        <v>162</v>
      </c>
      <c r="B668" s="37" t="s">
        <v>65</v>
      </c>
      <c r="C668" s="37" t="s">
        <v>22</v>
      </c>
      <c r="D668" s="58">
        <v>22</v>
      </c>
      <c r="E668" s="35">
        <v>12000</v>
      </c>
      <c r="F668" s="35">
        <v>3</v>
      </c>
      <c r="G668" s="37">
        <v>1</v>
      </c>
      <c r="H668" s="33" t="s">
        <v>197</v>
      </c>
      <c r="I668" s="33">
        <v>1</v>
      </c>
      <c r="J668" s="33">
        <v>1</v>
      </c>
      <c r="K668" s="33" t="s">
        <v>275</v>
      </c>
      <c r="L668" s="33" t="s">
        <v>154</v>
      </c>
      <c r="M668" s="48" t="s">
        <v>390</v>
      </c>
      <c r="N668" s="35">
        <v>0</v>
      </c>
      <c r="O668" s="51">
        <v>2.1999999999999886</v>
      </c>
      <c r="P668" s="51">
        <v>2.1999999999999886</v>
      </c>
      <c r="Q668" s="64">
        <v>1</v>
      </c>
      <c r="R668" s="76">
        <v>3.4572525902107891</v>
      </c>
      <c r="S668" s="76">
        <v>3.4572525902107891</v>
      </c>
      <c r="T668" s="66">
        <v>3.3109825808745108</v>
      </c>
      <c r="U668" s="67">
        <f t="shared" si="32"/>
        <v>3.3841175855426497</v>
      </c>
      <c r="V668" s="66">
        <v>3.3850470548408942</v>
      </c>
    </row>
    <row r="669" spans="1:22">
      <c r="A669" s="33" t="s">
        <v>162</v>
      </c>
      <c r="B669" s="37" t="s">
        <v>65</v>
      </c>
      <c r="C669" s="37" t="s">
        <v>22</v>
      </c>
      <c r="D669" s="58">
        <v>22</v>
      </c>
      <c r="E669" s="35">
        <v>12000</v>
      </c>
      <c r="F669" s="35">
        <v>3</v>
      </c>
      <c r="G669" s="37">
        <v>1</v>
      </c>
      <c r="H669" s="33" t="s">
        <v>197</v>
      </c>
      <c r="I669" s="33">
        <v>2</v>
      </c>
      <c r="J669" s="33">
        <v>2</v>
      </c>
      <c r="K669" s="33" t="s">
        <v>276</v>
      </c>
      <c r="L669" s="33" t="s">
        <v>155</v>
      </c>
      <c r="M669" s="48" t="s">
        <v>390</v>
      </c>
      <c r="N669" s="35">
        <v>8.8999999999999999E-3</v>
      </c>
      <c r="O669" s="51">
        <v>0.63499999999999091</v>
      </c>
      <c r="P669" s="51">
        <v>0.63499999999999091</v>
      </c>
      <c r="Q669" s="64">
        <v>1</v>
      </c>
      <c r="R669" s="76">
        <v>3.1986085257548842</v>
      </c>
      <c r="S669" s="76">
        <v>3.1986085257548842</v>
      </c>
      <c r="T669" s="66">
        <v>3.118788602941176</v>
      </c>
      <c r="U669" s="67">
        <f t="shared" si="32"/>
        <v>3.1586985643480299</v>
      </c>
      <c r="V669" s="66">
        <v>3.1659651877133101</v>
      </c>
    </row>
    <row r="670" spans="1:22">
      <c r="A670" s="33" t="s">
        <v>162</v>
      </c>
      <c r="B670" s="37" t="s">
        <v>65</v>
      </c>
      <c r="C670" s="37" t="s">
        <v>22</v>
      </c>
      <c r="D670" s="58">
        <v>22</v>
      </c>
      <c r="E670" s="35">
        <v>12000</v>
      </c>
      <c r="F670" s="35">
        <v>3</v>
      </c>
      <c r="G670" s="37">
        <v>1</v>
      </c>
      <c r="H670" s="33" t="s">
        <v>197</v>
      </c>
      <c r="I670" s="33">
        <v>3</v>
      </c>
      <c r="J670" s="33">
        <v>3</v>
      </c>
      <c r="K670" s="33" t="s">
        <v>275</v>
      </c>
      <c r="L670" s="33" t="s">
        <v>158</v>
      </c>
      <c r="M670" s="48" t="s">
        <v>390</v>
      </c>
      <c r="N670" s="35">
        <v>4.0000000000000002E-4</v>
      </c>
      <c r="O670" s="51">
        <v>1.3279999999999745</v>
      </c>
      <c r="P670" s="51">
        <v>1.3279999999999745</v>
      </c>
      <c r="Q670" s="64">
        <v>1</v>
      </c>
      <c r="R670" s="76">
        <v>3.177898047722342</v>
      </c>
      <c r="S670" s="76">
        <v>3.177898047722342</v>
      </c>
      <c r="T670" s="66">
        <v>3.0683518653986832</v>
      </c>
      <c r="U670" s="67">
        <f t="shared" si="32"/>
        <v>3.1231249565605124</v>
      </c>
      <c r="V670" s="66">
        <v>3.1267340710932259</v>
      </c>
    </row>
    <row r="671" spans="1:22">
      <c r="A671" s="33" t="s">
        <v>162</v>
      </c>
      <c r="B671" s="37" t="s">
        <v>65</v>
      </c>
      <c r="C671" s="37" t="s">
        <v>22</v>
      </c>
      <c r="D671" s="58">
        <v>22</v>
      </c>
      <c r="E671" s="35">
        <v>12000</v>
      </c>
      <c r="F671" s="35">
        <v>3</v>
      </c>
      <c r="G671" s="37">
        <v>1</v>
      </c>
      <c r="H671" s="33" t="s">
        <v>197</v>
      </c>
      <c r="I671" s="33">
        <v>4</v>
      </c>
      <c r="J671" s="33">
        <v>4</v>
      </c>
      <c r="K671" s="33" t="s">
        <v>276</v>
      </c>
      <c r="L671" s="33" t="s">
        <v>157</v>
      </c>
      <c r="M671" s="48" t="s">
        <v>390</v>
      </c>
      <c r="N671" s="35">
        <v>3.3999999999999998E-3</v>
      </c>
      <c r="O671" s="51" t="s">
        <v>395</v>
      </c>
      <c r="P671" s="51"/>
      <c r="Q671" s="64">
        <v>0</v>
      </c>
      <c r="R671" s="76">
        <v>3.3810376323010591</v>
      </c>
      <c r="S671" s="76">
        <v>3.3810376323010591</v>
      </c>
      <c r="T671" s="66">
        <v>3.2542888249794579</v>
      </c>
      <c r="U671" s="67">
        <f t="shared" si="32"/>
        <v>3.3176632286402583</v>
      </c>
      <c r="V671" s="66">
        <v>3.3315970204841712</v>
      </c>
    </row>
    <row r="672" spans="1:22">
      <c r="A672" s="33" t="s">
        <v>162</v>
      </c>
      <c r="B672" s="37" t="s">
        <v>65</v>
      </c>
      <c r="C672" s="37" t="s">
        <v>22</v>
      </c>
      <c r="D672" s="58">
        <v>22</v>
      </c>
      <c r="E672" s="35">
        <v>12000</v>
      </c>
      <c r="F672" s="35">
        <v>3</v>
      </c>
      <c r="G672" s="37">
        <v>1</v>
      </c>
      <c r="H672" s="33" t="s">
        <v>197</v>
      </c>
      <c r="I672" s="33">
        <v>5</v>
      </c>
      <c r="J672" s="33"/>
      <c r="K672" s="33" t="s">
        <v>276</v>
      </c>
      <c r="L672" s="33" t="s">
        <v>156</v>
      </c>
      <c r="M672" s="48" t="s">
        <v>390</v>
      </c>
      <c r="N672" s="35">
        <v>4.0000000000000002E-4</v>
      </c>
      <c r="O672" s="51"/>
      <c r="P672" s="51"/>
      <c r="Q672" s="64"/>
      <c r="R672" s="76">
        <v>3.1745830429732869</v>
      </c>
      <c r="S672" s="76">
        <v>3.1745830429732869</v>
      </c>
      <c r="T672" s="66">
        <v>3.0725164394546911</v>
      </c>
      <c r="U672" s="67">
        <f t="shared" si="32"/>
        <v>3.123549741213989</v>
      </c>
      <c r="V672" s="66">
        <v>3.1414906001446141</v>
      </c>
    </row>
    <row r="673" spans="1:22">
      <c r="A673" s="33" t="s">
        <v>162</v>
      </c>
      <c r="B673" s="37" t="s">
        <v>65</v>
      </c>
      <c r="C673" s="37" t="s">
        <v>22</v>
      </c>
      <c r="D673" s="58">
        <v>22</v>
      </c>
      <c r="E673" s="35">
        <v>12000</v>
      </c>
      <c r="F673" s="35">
        <v>3</v>
      </c>
      <c r="G673" s="37">
        <v>1</v>
      </c>
      <c r="H673" s="33" t="s">
        <v>197</v>
      </c>
      <c r="I673" s="33">
        <v>6</v>
      </c>
      <c r="J673" s="33">
        <v>5</v>
      </c>
      <c r="K673" s="33" t="s">
        <v>275</v>
      </c>
      <c r="L673" s="33" t="s">
        <v>153</v>
      </c>
      <c r="M673" s="48" t="s">
        <v>390</v>
      </c>
      <c r="N673" s="35">
        <v>1.1900000000000001E-2</v>
      </c>
      <c r="O673" s="51">
        <v>9.4690000000000509</v>
      </c>
      <c r="P673" s="51">
        <v>9.4690000000000509</v>
      </c>
      <c r="Q673" s="64">
        <v>1</v>
      </c>
      <c r="R673" s="76">
        <v>3.268257132271212</v>
      </c>
      <c r="S673" s="76">
        <v>3.268257132271212</v>
      </c>
      <c r="T673" s="66">
        <v>3.1786932255581211</v>
      </c>
      <c r="U673" s="67">
        <f t="shared" si="32"/>
        <v>3.2234751789146667</v>
      </c>
      <c r="V673" s="66">
        <v>3.24157192859643</v>
      </c>
    </row>
    <row r="674" spans="1:22">
      <c r="A674" s="33" t="s">
        <v>162</v>
      </c>
      <c r="B674" s="37" t="s">
        <v>65</v>
      </c>
      <c r="C674" s="37" t="s">
        <v>14</v>
      </c>
      <c r="D674" s="58">
        <v>22</v>
      </c>
      <c r="E674" s="35">
        <v>12000</v>
      </c>
      <c r="F674" s="35">
        <v>3</v>
      </c>
      <c r="G674" s="37">
        <v>2</v>
      </c>
      <c r="H674" s="33" t="s">
        <v>194</v>
      </c>
      <c r="I674" s="33">
        <v>1</v>
      </c>
      <c r="J674" s="33">
        <v>1</v>
      </c>
      <c r="K674" s="33" t="s">
        <v>275</v>
      </c>
      <c r="L674" s="33" t="s">
        <v>153</v>
      </c>
      <c r="M674" s="43" t="s">
        <v>391</v>
      </c>
      <c r="N674" s="35">
        <v>6.4999999999999997E-3</v>
      </c>
      <c r="O674" s="51">
        <v>6.4699999999999989</v>
      </c>
      <c r="P674" s="51">
        <v>6.4699999999999989</v>
      </c>
      <c r="Q674" s="64">
        <v>1</v>
      </c>
      <c r="R674" s="76">
        <v>3.2043131927064712</v>
      </c>
      <c r="S674" s="76">
        <v>3.2043131927064712</v>
      </c>
      <c r="T674" s="66">
        <v>3.0551482707873441</v>
      </c>
      <c r="U674" s="67">
        <f t="shared" si="32"/>
        <v>3.1297307317469079</v>
      </c>
      <c r="V674" s="66">
        <v>3.1335180394826412</v>
      </c>
    </row>
    <row r="675" spans="1:22">
      <c r="A675" s="33" t="s">
        <v>162</v>
      </c>
      <c r="B675" s="37" t="s">
        <v>65</v>
      </c>
      <c r="C675" s="37" t="s">
        <v>14</v>
      </c>
      <c r="D675" s="58">
        <v>22</v>
      </c>
      <c r="E675" s="35">
        <v>12000</v>
      </c>
      <c r="F675" s="35">
        <v>3</v>
      </c>
      <c r="G675" s="37">
        <v>2</v>
      </c>
      <c r="H675" s="33" t="s">
        <v>194</v>
      </c>
      <c r="I675" s="33">
        <v>2</v>
      </c>
      <c r="J675" s="33">
        <v>2</v>
      </c>
      <c r="K675" s="33" t="s">
        <v>276</v>
      </c>
      <c r="L675" s="33" t="s">
        <v>154</v>
      </c>
      <c r="M675" s="43" t="s">
        <v>391</v>
      </c>
      <c r="N675" s="35">
        <v>2.3E-3</v>
      </c>
      <c r="O675" s="51">
        <v>2.1330000000000382</v>
      </c>
      <c r="P675" s="51">
        <v>2.1330000000000382</v>
      </c>
      <c r="Q675" s="64">
        <v>1</v>
      </c>
      <c r="R675" s="76">
        <v>3.325152511415526</v>
      </c>
      <c r="S675" s="76">
        <v>3.325152511415526</v>
      </c>
      <c r="T675" s="66">
        <v>3.1969779962546818</v>
      </c>
      <c r="U675" s="67">
        <f t="shared" si="32"/>
        <v>3.2610652538351039</v>
      </c>
      <c r="V675" s="66">
        <v>3.2649875183553601</v>
      </c>
    </row>
    <row r="676" spans="1:22">
      <c r="A676" s="33" t="s">
        <v>162</v>
      </c>
      <c r="B676" s="37" t="s">
        <v>65</v>
      </c>
      <c r="C676" s="37" t="s">
        <v>14</v>
      </c>
      <c r="D676" s="58">
        <v>22</v>
      </c>
      <c r="E676" s="35">
        <v>12000</v>
      </c>
      <c r="F676" s="35">
        <v>3</v>
      </c>
      <c r="G676" s="37">
        <v>2</v>
      </c>
      <c r="H676" s="33" t="s">
        <v>194</v>
      </c>
      <c r="I676" s="33">
        <v>3</v>
      </c>
      <c r="J676" s="33">
        <v>3</v>
      </c>
      <c r="K676" s="33" t="s">
        <v>276</v>
      </c>
      <c r="L676" s="33" t="s">
        <v>155</v>
      </c>
      <c r="M676" s="43" t="s">
        <v>212</v>
      </c>
      <c r="N676" s="35">
        <v>9.1999999999999998E-3</v>
      </c>
      <c r="O676" s="51">
        <v>4.4900000000000091</v>
      </c>
      <c r="P676" s="51">
        <v>4.4900000000000091</v>
      </c>
      <c r="Q676" s="64">
        <v>1</v>
      </c>
      <c r="R676" s="76">
        <v>3.1798553639846752</v>
      </c>
      <c r="S676" s="76">
        <v>3.1798553639846752</v>
      </c>
      <c r="T676" s="66">
        <v>3.0675558739255009</v>
      </c>
      <c r="U676" s="67">
        <f t="shared" si="32"/>
        <v>3.1237056189550882</v>
      </c>
      <c r="V676" s="66">
        <v>3.138644418423107</v>
      </c>
    </row>
    <row r="677" spans="1:22">
      <c r="A677" s="33" t="s">
        <v>162</v>
      </c>
      <c r="B677" s="37" t="s">
        <v>65</v>
      </c>
      <c r="C677" s="37" t="s">
        <v>14</v>
      </c>
      <c r="D677" s="58">
        <v>22</v>
      </c>
      <c r="E677" s="35">
        <v>12000</v>
      </c>
      <c r="F677" s="35">
        <v>3</v>
      </c>
      <c r="G677" s="37">
        <v>2</v>
      </c>
      <c r="H677" s="33" t="s">
        <v>194</v>
      </c>
      <c r="I677" s="33">
        <v>4</v>
      </c>
      <c r="J677" s="33"/>
      <c r="K677" s="33" t="s">
        <v>275</v>
      </c>
      <c r="L677" s="33" t="s">
        <v>156</v>
      </c>
      <c r="M677" s="43" t="s">
        <v>212</v>
      </c>
      <c r="N677" s="35"/>
      <c r="O677" s="51"/>
      <c r="P677" s="51"/>
      <c r="Q677" s="64"/>
      <c r="R677" s="76">
        <v>4.12</v>
      </c>
      <c r="S677" s="76">
        <v>4.12</v>
      </c>
      <c r="T677" s="66">
        <v>4.077</v>
      </c>
      <c r="U677" s="67">
        <f t="shared" si="32"/>
        <v>4.0984999999999996</v>
      </c>
      <c r="V677" s="66">
        <v>4.0979999999999999</v>
      </c>
    </row>
    <row r="678" spans="1:22">
      <c r="A678" s="33" t="s">
        <v>162</v>
      </c>
      <c r="B678" s="37" t="s">
        <v>65</v>
      </c>
      <c r="C678" s="37" t="s">
        <v>14</v>
      </c>
      <c r="D678" s="58">
        <v>22</v>
      </c>
      <c r="E678" s="35">
        <v>12000</v>
      </c>
      <c r="F678" s="35">
        <v>3</v>
      </c>
      <c r="G678" s="37">
        <v>2</v>
      </c>
      <c r="H678" s="33" t="s">
        <v>194</v>
      </c>
      <c r="I678" s="33">
        <v>5</v>
      </c>
      <c r="J678" s="33">
        <v>4</v>
      </c>
      <c r="K678" s="33" t="s">
        <v>276</v>
      </c>
      <c r="L678" s="33" t="s">
        <v>157</v>
      </c>
      <c r="M678" s="43" t="s">
        <v>212</v>
      </c>
      <c r="N678" s="35">
        <v>5.0000000000000001E-4</v>
      </c>
      <c r="O678" s="51" t="s">
        <v>395</v>
      </c>
      <c r="P678" s="51"/>
      <c r="Q678" s="64">
        <v>0</v>
      </c>
      <c r="R678" s="76">
        <v>3.184439427805096</v>
      </c>
      <c r="S678" s="76">
        <v>3.184439427805096</v>
      </c>
      <c r="T678" s="66">
        <v>3.0564627151051629</v>
      </c>
      <c r="U678" s="67">
        <f t="shared" si="32"/>
        <v>3.1204510714551295</v>
      </c>
      <c r="V678" s="66">
        <v>3.1421243305279258</v>
      </c>
    </row>
    <row r="679" spans="1:22">
      <c r="A679" s="33" t="s">
        <v>162</v>
      </c>
      <c r="B679" s="37" t="s">
        <v>65</v>
      </c>
      <c r="C679" s="37" t="s">
        <v>14</v>
      </c>
      <c r="D679" s="58">
        <v>22</v>
      </c>
      <c r="E679" s="35">
        <v>12000</v>
      </c>
      <c r="F679" s="35">
        <v>3</v>
      </c>
      <c r="G679" s="37">
        <v>2</v>
      </c>
      <c r="H679" s="33" t="s">
        <v>194</v>
      </c>
      <c r="I679" s="33">
        <v>6</v>
      </c>
      <c r="J679" s="33">
        <v>5</v>
      </c>
      <c r="K679" s="33" t="s">
        <v>275</v>
      </c>
      <c r="L679" s="33" t="s">
        <v>158</v>
      </c>
      <c r="M679" s="43" t="s">
        <v>212</v>
      </c>
      <c r="N679" s="35">
        <v>1.5699999999999999E-2</v>
      </c>
      <c r="O679" s="51">
        <v>0.86000000000012733</v>
      </c>
      <c r="P679" s="51">
        <v>0.86000000000012733</v>
      </c>
      <c r="Q679" s="64">
        <v>1</v>
      </c>
      <c r="R679" s="76">
        <v>3.1907883777239712</v>
      </c>
      <c r="S679" s="76">
        <v>3.1907883777239712</v>
      </c>
      <c r="T679" s="66">
        <v>3.0602157344806389</v>
      </c>
      <c r="U679" s="67">
        <f t="shared" si="32"/>
        <v>3.125502056102305</v>
      </c>
      <c r="V679" s="66">
        <v>3.1601249030256011</v>
      </c>
    </row>
    <row r="680" spans="1:22">
      <c r="A680" s="33" t="s">
        <v>162</v>
      </c>
      <c r="B680" s="37" t="s">
        <v>65</v>
      </c>
      <c r="C680" s="37" t="s">
        <v>21</v>
      </c>
      <c r="D680" s="58">
        <v>22</v>
      </c>
      <c r="E680" s="35">
        <v>12000</v>
      </c>
      <c r="F680" s="35">
        <v>3</v>
      </c>
      <c r="G680" s="37">
        <v>3</v>
      </c>
      <c r="H680" s="33" t="s">
        <v>199</v>
      </c>
      <c r="I680" s="33">
        <v>1</v>
      </c>
      <c r="J680" s="33"/>
      <c r="K680" s="33" t="s">
        <v>276</v>
      </c>
      <c r="L680" s="33" t="s">
        <v>156</v>
      </c>
      <c r="M680" s="48" t="s">
        <v>392</v>
      </c>
      <c r="N680" s="35"/>
      <c r="O680" s="51"/>
      <c r="P680" s="51"/>
      <c r="Q680" s="64"/>
    </row>
    <row r="681" spans="1:22">
      <c r="A681" s="33" t="s">
        <v>162</v>
      </c>
      <c r="B681" s="37" t="s">
        <v>65</v>
      </c>
      <c r="C681" s="37" t="s">
        <v>21</v>
      </c>
      <c r="D681" s="58">
        <v>22</v>
      </c>
      <c r="E681" s="35">
        <v>12000</v>
      </c>
      <c r="F681" s="35">
        <v>3</v>
      </c>
      <c r="G681" s="37">
        <v>3</v>
      </c>
      <c r="H681" s="33" t="s">
        <v>199</v>
      </c>
      <c r="I681" s="33">
        <v>2</v>
      </c>
      <c r="J681" s="33">
        <v>1</v>
      </c>
      <c r="K681" s="33" t="s">
        <v>275</v>
      </c>
      <c r="L681" s="33" t="s">
        <v>157</v>
      </c>
      <c r="M681" s="48" t="s">
        <v>392</v>
      </c>
      <c r="N681" s="35">
        <v>0</v>
      </c>
      <c r="O681" s="51">
        <v>4.9300000000000068</v>
      </c>
      <c r="P681" s="51">
        <v>4.9300000000000068</v>
      </c>
      <c r="Q681" s="64">
        <v>1</v>
      </c>
      <c r="R681" s="76">
        <v>3.10223213451658</v>
      </c>
      <c r="S681" s="76">
        <v>3.10223213451658</v>
      </c>
      <c r="T681" s="66">
        <v>2.9800014942099371</v>
      </c>
      <c r="U681" s="67">
        <f>AVERAGE(S681:T681)</f>
        <v>3.0411168143632583</v>
      </c>
      <c r="V681" s="66">
        <v>3.031502677615137</v>
      </c>
    </row>
    <row r="682" spans="1:22">
      <c r="A682" s="33" t="s">
        <v>162</v>
      </c>
      <c r="B682" s="37" t="s">
        <v>65</v>
      </c>
      <c r="C682" s="37" t="s">
        <v>21</v>
      </c>
      <c r="D682" s="58">
        <v>22</v>
      </c>
      <c r="E682" s="35">
        <v>12000</v>
      </c>
      <c r="F682" s="35">
        <v>3</v>
      </c>
      <c r="G682" s="37">
        <v>3</v>
      </c>
      <c r="H682" s="33" t="s">
        <v>199</v>
      </c>
      <c r="I682" s="33">
        <v>3</v>
      </c>
      <c r="J682" s="33">
        <v>2</v>
      </c>
      <c r="K682" s="33" t="s">
        <v>276</v>
      </c>
      <c r="L682" s="33" t="s">
        <v>153</v>
      </c>
      <c r="M682" s="48" t="s">
        <v>211</v>
      </c>
      <c r="N682" s="35">
        <v>5.4999999999999997E-3</v>
      </c>
      <c r="O682" s="51">
        <v>2.0299999999999727</v>
      </c>
      <c r="P682" s="51">
        <v>2.0299999999999727</v>
      </c>
      <c r="Q682" s="64">
        <v>1</v>
      </c>
      <c r="R682" s="76">
        <v>3.0717849280270961</v>
      </c>
      <c r="S682" s="76">
        <v>3.0717849280270961</v>
      </c>
      <c r="T682" s="66">
        <v>2.9667080924855491</v>
      </c>
      <c r="U682" s="67">
        <f>AVERAGE(S682:T682)</f>
        <v>3.0192465102563224</v>
      </c>
      <c r="V682" s="66">
        <v>3.0253419572553431</v>
      </c>
    </row>
    <row r="683" spans="1:22">
      <c r="A683" s="33" t="s">
        <v>162</v>
      </c>
      <c r="B683" s="37" t="s">
        <v>65</v>
      </c>
      <c r="C683" s="37" t="s">
        <v>21</v>
      </c>
      <c r="D683" s="58">
        <v>22</v>
      </c>
      <c r="E683" s="35">
        <v>12000</v>
      </c>
      <c r="F683" s="35">
        <v>3</v>
      </c>
      <c r="G683" s="37">
        <v>3</v>
      </c>
      <c r="H683" s="33" t="s">
        <v>199</v>
      </c>
      <c r="I683" s="33">
        <v>4</v>
      </c>
      <c r="J683" s="33">
        <v>3</v>
      </c>
      <c r="K683" s="33" t="s">
        <v>276</v>
      </c>
      <c r="L683" s="33" t="s">
        <v>158</v>
      </c>
      <c r="M683" s="48" t="s">
        <v>211</v>
      </c>
      <c r="N683" s="35">
        <v>8.9999999999999998E-4</v>
      </c>
      <c r="O683" s="51">
        <v>1.4700000000000273</v>
      </c>
      <c r="P683" s="51">
        <v>1.4700000000000273</v>
      </c>
      <c r="Q683" s="64">
        <v>1</v>
      </c>
      <c r="R683" s="76">
        <v>3.1623109943057379</v>
      </c>
      <c r="S683" s="76">
        <v>3.1623109943057379</v>
      </c>
      <c r="T683" s="66">
        <v>3.028864282968089</v>
      </c>
      <c r="U683" s="67">
        <f>AVERAGE(S683:T683)</f>
        <v>3.0955876386369132</v>
      </c>
      <c r="V683" s="66">
        <v>3.1060768394345781</v>
      </c>
    </row>
    <row r="684" spans="1:22">
      <c r="A684" s="33" t="s">
        <v>162</v>
      </c>
      <c r="B684" s="37" t="s">
        <v>65</v>
      </c>
      <c r="C684" s="37" t="s">
        <v>21</v>
      </c>
      <c r="D684" s="58">
        <v>22</v>
      </c>
      <c r="E684" s="35">
        <v>12000</v>
      </c>
      <c r="F684" s="35">
        <v>3</v>
      </c>
      <c r="G684" s="37">
        <v>3</v>
      </c>
      <c r="H684" s="33" t="s">
        <v>199</v>
      </c>
      <c r="I684" s="33">
        <v>5</v>
      </c>
      <c r="J684" s="33">
        <v>4</v>
      </c>
      <c r="K684" s="33" t="s">
        <v>275</v>
      </c>
      <c r="L684" s="33" t="s">
        <v>155</v>
      </c>
      <c r="M684" s="48" t="s">
        <v>211</v>
      </c>
      <c r="N684" s="35">
        <v>5.9999999999999995E-4</v>
      </c>
      <c r="O684" s="51">
        <v>5.9000000000000909</v>
      </c>
      <c r="P684" s="51">
        <v>5.9000000000000909</v>
      </c>
      <c r="Q684" s="64">
        <v>1</v>
      </c>
      <c r="R684" s="76">
        <v>3.2327972560975611</v>
      </c>
      <c r="S684" s="76">
        <v>3.2327972560975611</v>
      </c>
      <c r="T684" s="66">
        <v>3.0275363534675619</v>
      </c>
      <c r="U684" s="67">
        <f>AVERAGE(S684:T684)</f>
        <v>3.1301668047825615</v>
      </c>
      <c r="V684" s="66">
        <v>3.133635335073977</v>
      </c>
    </row>
    <row r="685" spans="1:22">
      <c r="A685" s="33" t="s">
        <v>162</v>
      </c>
      <c r="B685" s="37" t="s">
        <v>65</v>
      </c>
      <c r="C685" s="37" t="s">
        <v>21</v>
      </c>
      <c r="D685" s="58">
        <v>22</v>
      </c>
      <c r="E685" s="35">
        <v>12000</v>
      </c>
      <c r="F685" s="35">
        <v>3</v>
      </c>
      <c r="G685" s="37">
        <v>3</v>
      </c>
      <c r="H685" s="33" t="s">
        <v>199</v>
      </c>
      <c r="I685" s="33">
        <v>6</v>
      </c>
      <c r="J685" s="33">
        <v>5</v>
      </c>
      <c r="K685" s="33" t="s">
        <v>275</v>
      </c>
      <c r="L685" s="33" t="s">
        <v>154</v>
      </c>
      <c r="M685" s="48" t="s">
        <v>211</v>
      </c>
      <c r="N685" s="35">
        <v>4.1000000000000003E-3</v>
      </c>
      <c r="O685" s="51">
        <v>11.720000000000027</v>
      </c>
      <c r="P685" s="51">
        <v>11.720000000000027</v>
      </c>
      <c r="Q685" s="64">
        <v>1</v>
      </c>
      <c r="R685" s="76">
        <v>3.2589486419753091</v>
      </c>
      <c r="S685" s="76">
        <v>3.2589486419753091</v>
      </c>
      <c r="T685" s="66">
        <v>3.138193836978131</v>
      </c>
      <c r="U685" s="67">
        <f>AVERAGE(S685:T685)</f>
        <v>3.1985712394767201</v>
      </c>
      <c r="V685" s="66">
        <v>3.2109648829431441</v>
      </c>
    </row>
  </sheetData>
  <sortState xmlns:xlrd2="http://schemas.microsoft.com/office/spreadsheetml/2017/richdata2" ref="A2:V685">
    <sortCondition ref="M2:M685"/>
    <sortCondition ref="I2:I685"/>
  </sortState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8373-7002-1840-A9B3-4FFDEFA51AC0}">
  <dimension ref="A1:U115"/>
  <sheetViews>
    <sheetView zoomScale="75" workbookViewId="0">
      <selection activeCell="B2" sqref="B2"/>
    </sheetView>
  </sheetViews>
  <sheetFormatPr baseColWidth="10" defaultColWidth="22.83203125" defaultRowHeight="16"/>
  <sheetData>
    <row r="1" spans="1:21" ht="31" customHeight="1">
      <c r="A1" s="70" t="s">
        <v>196</v>
      </c>
      <c r="B1" s="70" t="s">
        <v>463</v>
      </c>
      <c r="C1" s="70" t="s">
        <v>12</v>
      </c>
      <c r="D1" s="70" t="s">
        <v>401</v>
      </c>
      <c r="E1" s="70" t="s">
        <v>77</v>
      </c>
      <c r="F1" s="70" t="s">
        <v>403</v>
      </c>
      <c r="G1" s="70" t="s">
        <v>55</v>
      </c>
      <c r="H1" s="70" t="s">
        <v>53</v>
      </c>
      <c r="I1" s="72" t="s">
        <v>278</v>
      </c>
      <c r="J1" s="70" t="s">
        <v>410</v>
      </c>
      <c r="K1" s="71" t="s">
        <v>458</v>
      </c>
      <c r="L1" s="71" t="s">
        <v>459</v>
      </c>
      <c r="M1" s="70" t="s">
        <v>410</v>
      </c>
      <c r="N1" s="70" t="s">
        <v>411</v>
      </c>
      <c r="O1" s="70" t="s">
        <v>412</v>
      </c>
      <c r="P1" s="71" t="s">
        <v>413</v>
      </c>
      <c r="Q1" s="70" t="s">
        <v>414</v>
      </c>
      <c r="R1" s="70" t="s">
        <v>415</v>
      </c>
      <c r="S1" s="71" t="s">
        <v>416</v>
      </c>
      <c r="T1" s="70" t="s">
        <v>417</v>
      </c>
      <c r="U1" s="70" t="s">
        <v>87</v>
      </c>
    </row>
    <row r="2" spans="1:21" ht="21">
      <c r="A2" s="35" t="s">
        <v>56</v>
      </c>
      <c r="B2" s="35" t="s">
        <v>57</v>
      </c>
      <c r="C2" s="35" t="s">
        <v>14</v>
      </c>
      <c r="D2" s="35">
        <v>52</v>
      </c>
      <c r="E2" s="35">
        <v>4000</v>
      </c>
      <c r="F2" s="35">
        <v>22</v>
      </c>
      <c r="G2" s="35">
        <v>1</v>
      </c>
      <c r="H2" s="35" t="s">
        <v>197</v>
      </c>
      <c r="I2" s="47" t="s">
        <v>279</v>
      </c>
      <c r="J2" s="73" t="s">
        <v>418</v>
      </c>
      <c r="K2" s="73">
        <v>76.733141548754659</v>
      </c>
      <c r="L2" s="73">
        <v>119.4027298160198</v>
      </c>
      <c r="M2" s="73" t="s">
        <v>418</v>
      </c>
      <c r="N2" s="66">
        <v>1.9371080397975891</v>
      </c>
      <c r="O2" s="66">
        <v>4</v>
      </c>
      <c r="P2" s="66">
        <v>0.48427700994939737</v>
      </c>
      <c r="Q2" s="66">
        <v>0.1482837793748327</v>
      </c>
      <c r="R2" s="66">
        <v>7.1699250014423122</v>
      </c>
      <c r="S2" s="66">
        <v>2.068135710554905E-2</v>
      </c>
      <c r="T2" s="66">
        <v>16</v>
      </c>
      <c r="U2" s="66">
        <v>144</v>
      </c>
    </row>
    <row r="3" spans="1:21" ht="21">
      <c r="A3" s="35" t="s">
        <v>56</v>
      </c>
      <c r="B3" s="35" t="s">
        <v>57</v>
      </c>
      <c r="C3" s="35" t="s">
        <v>22</v>
      </c>
      <c r="D3" s="35">
        <v>52</v>
      </c>
      <c r="E3" s="35">
        <v>4000</v>
      </c>
      <c r="F3" s="35">
        <v>22</v>
      </c>
      <c r="G3" s="35">
        <v>2</v>
      </c>
      <c r="H3" s="35" t="s">
        <v>199</v>
      </c>
      <c r="I3" s="47" t="s">
        <v>280</v>
      </c>
      <c r="J3" s="73" t="s">
        <v>209</v>
      </c>
      <c r="K3" s="73">
        <v>172.99981450206809</v>
      </c>
      <c r="L3" s="73">
        <v>140.77116906290061</v>
      </c>
      <c r="M3" s="73" t="s">
        <v>209</v>
      </c>
      <c r="N3" s="66">
        <v>2.3999206163215629</v>
      </c>
      <c r="O3" s="66">
        <v>5.2479275134435852</v>
      </c>
      <c r="P3" s="66">
        <v>0.45730826315220641</v>
      </c>
      <c r="Q3" s="66">
        <v>0.1240344066772992</v>
      </c>
      <c r="R3" s="66">
        <v>8.4797802640290989</v>
      </c>
      <c r="S3" s="66">
        <v>1.462707792128156E-2</v>
      </c>
      <c r="T3" s="66">
        <v>38</v>
      </c>
      <c r="U3" s="66">
        <v>357</v>
      </c>
    </row>
    <row r="4" spans="1:21" ht="21">
      <c r="A4" s="35" t="s">
        <v>56</v>
      </c>
      <c r="B4" s="35" t="s">
        <v>57</v>
      </c>
      <c r="C4" s="35" t="s">
        <v>21</v>
      </c>
      <c r="D4" s="35">
        <v>52</v>
      </c>
      <c r="E4" s="35">
        <v>4000</v>
      </c>
      <c r="F4" s="35">
        <v>22</v>
      </c>
      <c r="G4" s="35">
        <v>3</v>
      </c>
      <c r="H4" s="35" t="s">
        <v>194</v>
      </c>
      <c r="I4" s="47" t="s">
        <v>281</v>
      </c>
      <c r="J4" s="73" t="s">
        <v>267</v>
      </c>
      <c r="K4" s="73">
        <v>117.4197512103175</v>
      </c>
      <c r="L4" s="73">
        <v>93.6565256608569</v>
      </c>
      <c r="M4" s="73" t="s">
        <v>267</v>
      </c>
      <c r="N4" s="66">
        <v>1.5133484217884481</v>
      </c>
      <c r="O4" s="66">
        <v>5.0443941193584534</v>
      </c>
      <c r="P4" s="66">
        <v>0.30000598406472562</v>
      </c>
      <c r="Q4" s="66">
        <v>9.8000831224108437E-2</v>
      </c>
      <c r="R4" s="66">
        <v>7.8328900141647413</v>
      </c>
      <c r="S4" s="66">
        <v>1.2511452483934661E-2</v>
      </c>
      <c r="T4" s="66">
        <v>33</v>
      </c>
      <c r="U4" s="66">
        <v>228</v>
      </c>
    </row>
    <row r="5" spans="1:21" ht="21">
      <c r="A5" s="35" t="s">
        <v>85</v>
      </c>
      <c r="B5" s="35" t="s">
        <v>57</v>
      </c>
      <c r="C5" s="35" t="s">
        <v>22</v>
      </c>
      <c r="D5" s="35">
        <v>47</v>
      </c>
      <c r="E5" s="35">
        <v>6000</v>
      </c>
      <c r="F5" s="35">
        <v>16</v>
      </c>
      <c r="G5" s="35">
        <v>1</v>
      </c>
      <c r="H5" s="35" t="s">
        <v>197</v>
      </c>
      <c r="I5" s="47" t="s">
        <v>288</v>
      </c>
      <c r="J5" s="73" t="s">
        <v>419</v>
      </c>
      <c r="K5" s="73">
        <v>151.93702802050061</v>
      </c>
      <c r="L5" s="73">
        <v>68.254882157615</v>
      </c>
      <c r="M5" s="73" t="s">
        <v>419</v>
      </c>
      <c r="N5" s="66">
        <v>2.4461732279234978</v>
      </c>
      <c r="O5" s="66">
        <v>5.3219280948873626</v>
      </c>
      <c r="P5" s="66">
        <v>0.45964041308139292</v>
      </c>
      <c r="Q5" s="66">
        <v>0.23777038481141269</v>
      </c>
      <c r="R5" s="66">
        <v>8.611024797307353</v>
      </c>
      <c r="S5" s="66">
        <v>2.7612321460944219E-2</v>
      </c>
      <c r="T5" s="66">
        <v>40</v>
      </c>
      <c r="U5" s="66">
        <v>391</v>
      </c>
    </row>
    <row r="6" spans="1:21" ht="21">
      <c r="A6" s="35" t="s">
        <v>85</v>
      </c>
      <c r="B6" s="35" t="s">
        <v>57</v>
      </c>
      <c r="C6" s="35" t="s">
        <v>21</v>
      </c>
      <c r="D6" s="35">
        <v>47</v>
      </c>
      <c r="E6" s="35">
        <v>6000</v>
      </c>
      <c r="F6" s="35">
        <v>16</v>
      </c>
      <c r="G6" s="35">
        <v>2</v>
      </c>
      <c r="H6" s="35" t="s">
        <v>199</v>
      </c>
      <c r="I6" s="47" t="s">
        <v>289</v>
      </c>
      <c r="J6" s="73" t="s">
        <v>219</v>
      </c>
      <c r="K6" s="73">
        <v>135.2927361002584</v>
      </c>
      <c r="L6" s="73">
        <v>122.8648722420298</v>
      </c>
      <c r="M6" s="73" t="s">
        <v>219</v>
      </c>
      <c r="N6" s="66">
        <v>3.4580085674501642</v>
      </c>
      <c r="O6" s="66">
        <v>5.2094533656289501</v>
      </c>
      <c r="P6" s="66">
        <v>0.66379489837945216</v>
      </c>
      <c r="Q6" s="66">
        <v>0.25190698888578728</v>
      </c>
      <c r="R6" s="66">
        <v>8.7142455176661233</v>
      </c>
      <c r="S6" s="66">
        <v>2.8907492722703751E-2</v>
      </c>
      <c r="T6" s="66">
        <v>37</v>
      </c>
      <c r="U6" s="66">
        <v>420</v>
      </c>
    </row>
    <row r="7" spans="1:21" ht="21">
      <c r="A7" s="35" t="s">
        <v>85</v>
      </c>
      <c r="B7" s="35" t="s">
        <v>57</v>
      </c>
      <c r="C7" s="35" t="s">
        <v>14</v>
      </c>
      <c r="D7" s="35">
        <v>47</v>
      </c>
      <c r="E7" s="35">
        <v>6000</v>
      </c>
      <c r="F7" s="35">
        <v>16</v>
      </c>
      <c r="G7" s="35">
        <v>3</v>
      </c>
      <c r="H7" s="35" t="s">
        <v>194</v>
      </c>
      <c r="I7" s="47" t="s">
        <v>290</v>
      </c>
      <c r="J7" s="73" t="s">
        <v>202</v>
      </c>
      <c r="K7" s="73">
        <v>98.790049475467853</v>
      </c>
      <c r="L7" s="73">
        <v>117.3331020132751</v>
      </c>
      <c r="M7" s="73" t="s">
        <v>202</v>
      </c>
      <c r="N7" s="66">
        <v>2.5722430237111289</v>
      </c>
      <c r="O7" s="66">
        <v>4.7004397181410917</v>
      </c>
      <c r="P7" s="66">
        <v>0.54723455207471272</v>
      </c>
      <c r="Q7" s="66">
        <v>0.2225681536840825</v>
      </c>
      <c r="R7" s="66">
        <v>8.0389189892923021</v>
      </c>
      <c r="S7" s="66">
        <v>2.768632871913989E-2</v>
      </c>
      <c r="T7" s="66">
        <v>26</v>
      </c>
      <c r="U7" s="66">
        <v>263</v>
      </c>
    </row>
    <row r="8" spans="1:21" ht="21">
      <c r="A8" s="35" t="s">
        <v>86</v>
      </c>
      <c r="B8" s="35" t="s">
        <v>82</v>
      </c>
      <c r="C8" s="35" t="s">
        <v>21</v>
      </c>
      <c r="D8" s="35">
        <v>40</v>
      </c>
      <c r="E8" s="35">
        <v>18000</v>
      </c>
      <c r="F8" s="35">
        <v>23</v>
      </c>
      <c r="G8" s="35">
        <v>1</v>
      </c>
      <c r="H8" s="35" t="s">
        <v>197</v>
      </c>
      <c r="I8" s="47" t="s">
        <v>285</v>
      </c>
      <c r="J8" s="73" t="s">
        <v>420</v>
      </c>
      <c r="K8" s="73">
        <v>131.0707455270927</v>
      </c>
      <c r="L8" s="73">
        <v>103.3402506143732</v>
      </c>
      <c r="M8" s="73" t="s">
        <v>420</v>
      </c>
      <c r="N8" s="66">
        <v>2.8198234430651521</v>
      </c>
      <c r="O8" s="66">
        <v>5.3923174227787607</v>
      </c>
      <c r="P8" s="66">
        <v>0.52293350372019554</v>
      </c>
      <c r="Q8" s="66">
        <v>0.28284051173358182</v>
      </c>
      <c r="R8" s="66">
        <v>8.6329951971429573</v>
      </c>
      <c r="S8" s="66">
        <v>3.2762732432329661E-2</v>
      </c>
      <c r="T8" s="66">
        <v>42</v>
      </c>
      <c r="U8" s="66">
        <v>397</v>
      </c>
    </row>
    <row r="9" spans="1:21" ht="21">
      <c r="A9" s="35" t="s">
        <v>86</v>
      </c>
      <c r="B9" s="35" t="s">
        <v>82</v>
      </c>
      <c r="C9" s="35" t="s">
        <v>14</v>
      </c>
      <c r="D9" s="35">
        <v>40</v>
      </c>
      <c r="E9" s="35">
        <v>18000</v>
      </c>
      <c r="F9" s="35">
        <v>23</v>
      </c>
      <c r="G9" s="35">
        <v>2</v>
      </c>
      <c r="H9" s="35" t="s">
        <v>199</v>
      </c>
      <c r="I9" s="47" t="s">
        <v>286</v>
      </c>
      <c r="J9" s="73" t="s">
        <v>214</v>
      </c>
      <c r="K9" s="73">
        <v>134.796723849492</v>
      </c>
      <c r="L9" s="73">
        <v>103.1399120169191</v>
      </c>
      <c r="M9" s="73" t="s">
        <v>214</v>
      </c>
      <c r="N9" s="66">
        <v>2.2501462290620231</v>
      </c>
      <c r="O9" s="66">
        <v>5.1292830169449664</v>
      </c>
      <c r="P9" s="66">
        <v>0.43868630793592361</v>
      </c>
      <c r="Q9" s="66">
        <v>0.26230248933499373</v>
      </c>
      <c r="R9" s="66">
        <v>8.5430318202552371</v>
      </c>
      <c r="S9" s="66">
        <v>3.070367696782815E-2</v>
      </c>
      <c r="T9" s="66">
        <v>35</v>
      </c>
      <c r="U9" s="66">
        <v>373</v>
      </c>
    </row>
    <row r="10" spans="1:21" ht="21">
      <c r="A10" s="35" t="s">
        <v>86</v>
      </c>
      <c r="B10" s="35" t="s">
        <v>82</v>
      </c>
      <c r="C10" s="35" t="s">
        <v>22</v>
      </c>
      <c r="D10" s="35">
        <v>40</v>
      </c>
      <c r="E10" s="35">
        <v>18000</v>
      </c>
      <c r="F10" s="35">
        <v>23</v>
      </c>
      <c r="G10" s="35">
        <v>3</v>
      </c>
      <c r="H10" s="35" t="s">
        <v>194</v>
      </c>
      <c r="I10" s="47" t="s">
        <v>287</v>
      </c>
      <c r="J10" s="73" t="s">
        <v>210</v>
      </c>
      <c r="K10" s="73">
        <v>117.7640381442197</v>
      </c>
      <c r="L10" s="73">
        <v>82.132342496388503</v>
      </c>
      <c r="M10" s="73" t="s">
        <v>210</v>
      </c>
      <c r="N10" s="66">
        <v>2.202833049991499</v>
      </c>
      <c r="O10" s="66">
        <v>5.1292830169449664</v>
      </c>
      <c r="P10" s="66">
        <v>0.42946217682164878</v>
      </c>
      <c r="Q10" s="66">
        <v>0.2239312699319739</v>
      </c>
      <c r="R10" s="66">
        <v>8.4262647547020979</v>
      </c>
      <c r="S10" s="66">
        <v>2.657538974276993E-2</v>
      </c>
      <c r="T10" s="66">
        <v>35</v>
      </c>
      <c r="U10" s="66">
        <v>344</v>
      </c>
    </row>
    <row r="11" spans="1:21" ht="21">
      <c r="A11" s="35" t="s">
        <v>123</v>
      </c>
      <c r="B11" s="35" t="s">
        <v>65</v>
      </c>
      <c r="C11" s="35" t="s">
        <v>21</v>
      </c>
      <c r="D11" s="35">
        <v>25</v>
      </c>
      <c r="E11" s="35">
        <v>700</v>
      </c>
      <c r="F11" s="35">
        <v>3</v>
      </c>
      <c r="G11" s="35">
        <v>3</v>
      </c>
      <c r="H11" s="35" t="s">
        <v>199</v>
      </c>
      <c r="I11" s="47" t="s">
        <v>359</v>
      </c>
      <c r="J11" s="73" t="s">
        <v>237</v>
      </c>
      <c r="K11" s="73">
        <v>77.540425163261006</v>
      </c>
      <c r="L11" s="73">
        <v>72.090220249003366</v>
      </c>
      <c r="M11" s="73" t="s">
        <v>237</v>
      </c>
      <c r="N11" s="66">
        <v>1.985381690001067</v>
      </c>
      <c r="O11" s="66">
        <v>4.9068905956085187</v>
      </c>
      <c r="P11" s="66">
        <v>0.40461095500639621</v>
      </c>
      <c r="Q11" s="66">
        <v>0.1055912081437046</v>
      </c>
      <c r="R11" s="66">
        <v>7.5999128421871278</v>
      </c>
      <c r="S11" s="66">
        <v>1.3893739354163071E-2</v>
      </c>
      <c r="T11" s="66">
        <v>30</v>
      </c>
      <c r="U11" s="66">
        <v>194</v>
      </c>
    </row>
    <row r="12" spans="1:21" ht="21">
      <c r="A12" s="35" t="s">
        <v>88</v>
      </c>
      <c r="B12" s="35" t="s">
        <v>82</v>
      </c>
      <c r="C12" s="35" t="s">
        <v>21</v>
      </c>
      <c r="D12" s="35">
        <v>27</v>
      </c>
      <c r="E12" s="35">
        <v>5000</v>
      </c>
      <c r="F12" s="35">
        <v>8</v>
      </c>
      <c r="G12" s="35">
        <v>1</v>
      </c>
      <c r="H12" s="35" t="s">
        <v>197</v>
      </c>
      <c r="I12" s="47" t="s">
        <v>282</v>
      </c>
      <c r="J12" s="73" t="s">
        <v>421</v>
      </c>
      <c r="K12" s="73">
        <v>134.65825077726259</v>
      </c>
      <c r="L12" s="73">
        <v>75.472305900569907</v>
      </c>
      <c r="M12" s="73" t="s">
        <v>421</v>
      </c>
      <c r="N12" s="66">
        <v>2.5402291211144732</v>
      </c>
      <c r="O12" s="66">
        <v>5.2854022188622487</v>
      </c>
      <c r="P12" s="66">
        <v>0.48061226297008097</v>
      </c>
      <c r="Q12" s="66">
        <v>0.22180471254647319</v>
      </c>
      <c r="R12" s="66">
        <v>8.5313814605163127</v>
      </c>
      <c r="S12" s="66">
        <v>2.5998686563600191E-2</v>
      </c>
      <c r="T12" s="66">
        <v>39</v>
      </c>
      <c r="U12" s="66">
        <v>370</v>
      </c>
    </row>
    <row r="13" spans="1:21" ht="21">
      <c r="A13" s="35" t="s">
        <v>88</v>
      </c>
      <c r="B13" s="35" t="s">
        <v>82</v>
      </c>
      <c r="C13" s="35" t="s">
        <v>22</v>
      </c>
      <c r="D13" s="35">
        <v>27</v>
      </c>
      <c r="E13" s="35">
        <v>5000</v>
      </c>
      <c r="F13" s="35">
        <v>8</v>
      </c>
      <c r="G13" s="35">
        <v>2</v>
      </c>
      <c r="H13" s="35" t="s">
        <v>199</v>
      </c>
      <c r="I13" s="47" t="s">
        <v>283</v>
      </c>
      <c r="J13" s="73" t="s">
        <v>256</v>
      </c>
      <c r="K13" s="73">
        <v>122.2720250576141</v>
      </c>
      <c r="L13" s="73">
        <v>103.2716583630874</v>
      </c>
      <c r="M13" s="73" t="s">
        <v>256</v>
      </c>
      <c r="N13" s="66">
        <v>1.745732666726149</v>
      </c>
      <c r="O13" s="66">
        <v>5.4918530963296748</v>
      </c>
      <c r="P13" s="66">
        <v>0.31787679606595087</v>
      </c>
      <c r="Q13" s="66">
        <v>0.1851878244537814</v>
      </c>
      <c r="R13" s="66">
        <v>8.4998458870832057</v>
      </c>
      <c r="S13" s="66">
        <v>2.178719789910569E-2</v>
      </c>
      <c r="T13" s="66">
        <v>45</v>
      </c>
      <c r="U13" s="66">
        <v>362</v>
      </c>
    </row>
    <row r="14" spans="1:21" ht="21">
      <c r="A14" s="35" t="s">
        <v>88</v>
      </c>
      <c r="B14" s="35" t="s">
        <v>82</v>
      </c>
      <c r="C14" s="35" t="s">
        <v>14</v>
      </c>
      <c r="D14" s="35">
        <v>27</v>
      </c>
      <c r="E14" s="35">
        <v>5000</v>
      </c>
      <c r="F14" s="35">
        <v>8</v>
      </c>
      <c r="G14" s="35">
        <v>3</v>
      </c>
      <c r="H14" s="35" t="s">
        <v>194</v>
      </c>
      <c r="I14" s="47" t="s">
        <v>284</v>
      </c>
      <c r="J14" s="73" t="s">
        <v>245</v>
      </c>
      <c r="K14" s="73">
        <v>93.81583167248877</v>
      </c>
      <c r="L14" s="73">
        <v>142.82000961293929</v>
      </c>
      <c r="M14" s="73" t="s">
        <v>245</v>
      </c>
      <c r="N14" s="66">
        <v>2.1364074523374188</v>
      </c>
      <c r="O14" s="66">
        <v>4.8073549220576037</v>
      </c>
      <c r="P14" s="66">
        <v>0.44440393667106493</v>
      </c>
      <c r="Q14" s="66">
        <v>0.23679199705000431</v>
      </c>
      <c r="R14" s="66">
        <v>8.0168082876865547</v>
      </c>
      <c r="S14" s="66">
        <v>2.953694145508079E-2</v>
      </c>
      <c r="T14" s="66">
        <v>28</v>
      </c>
      <c r="U14" s="66">
        <v>259</v>
      </c>
    </row>
    <row r="15" spans="1:21" ht="21">
      <c r="A15" s="35" t="s">
        <v>106</v>
      </c>
      <c r="B15" s="35" t="s">
        <v>66</v>
      </c>
      <c r="C15" s="35" t="s">
        <v>14</v>
      </c>
      <c r="D15" s="35">
        <v>23</v>
      </c>
      <c r="E15" s="35">
        <v>10000</v>
      </c>
      <c r="F15" s="35">
        <v>4</v>
      </c>
      <c r="G15" s="35">
        <v>1</v>
      </c>
      <c r="H15" s="35" t="s">
        <v>197</v>
      </c>
      <c r="I15" s="47" t="s">
        <v>336</v>
      </c>
      <c r="J15" s="73" t="s">
        <v>422</v>
      </c>
      <c r="K15" s="73">
        <v>120.3817289037524</v>
      </c>
      <c r="L15" s="73">
        <v>173.57232977088219</v>
      </c>
      <c r="M15" s="73" t="s">
        <v>422</v>
      </c>
      <c r="N15" s="66">
        <v>3.2631471536649861</v>
      </c>
      <c r="O15" s="66">
        <v>5.3219280948873626</v>
      </c>
      <c r="P15" s="66">
        <v>0.61315130446798138</v>
      </c>
      <c r="Q15" s="66">
        <v>0.41427484892736072</v>
      </c>
      <c r="R15" s="66">
        <v>8.8008998999203047</v>
      </c>
      <c r="S15" s="66">
        <v>4.7071873744537418E-2</v>
      </c>
      <c r="T15" s="66">
        <v>40</v>
      </c>
      <c r="U15" s="66">
        <v>446</v>
      </c>
    </row>
    <row r="16" spans="1:21" ht="21">
      <c r="A16" s="35" t="s">
        <v>106</v>
      </c>
      <c r="B16" s="35" t="s">
        <v>66</v>
      </c>
      <c r="C16" s="35" t="s">
        <v>22</v>
      </c>
      <c r="D16" s="35">
        <v>23</v>
      </c>
      <c r="E16" s="35">
        <v>10000</v>
      </c>
      <c r="F16" s="35">
        <v>4</v>
      </c>
      <c r="G16" s="35">
        <v>2</v>
      </c>
      <c r="H16" s="35" t="s">
        <v>199</v>
      </c>
      <c r="I16" s="47" t="s">
        <v>337</v>
      </c>
      <c r="J16" s="73" t="s">
        <v>231</v>
      </c>
      <c r="K16" s="73">
        <v>106.4000804014907</v>
      </c>
      <c r="L16" s="73">
        <v>118.3693203549566</v>
      </c>
      <c r="M16" s="73" t="s">
        <v>231</v>
      </c>
      <c r="N16" s="66">
        <v>2.8607486664541328</v>
      </c>
      <c r="O16" s="66">
        <v>5.4918530963296748</v>
      </c>
      <c r="P16" s="66">
        <v>0.52090771844680883</v>
      </c>
      <c r="Q16" s="66">
        <v>0.2055951219321529</v>
      </c>
      <c r="R16" s="66">
        <v>8.8137811912170374</v>
      </c>
      <c r="S16" s="66">
        <v>2.332655162088992E-2</v>
      </c>
      <c r="T16" s="66">
        <v>45</v>
      </c>
      <c r="U16" s="66">
        <v>450</v>
      </c>
    </row>
    <row r="17" spans="1:21" ht="21">
      <c r="A17" s="35" t="s">
        <v>106</v>
      </c>
      <c r="B17" s="35" t="s">
        <v>66</v>
      </c>
      <c r="C17" s="35" t="s">
        <v>21</v>
      </c>
      <c r="D17" s="35">
        <v>23</v>
      </c>
      <c r="E17" s="35">
        <v>10000</v>
      </c>
      <c r="F17" s="35">
        <v>4</v>
      </c>
      <c r="G17" s="35">
        <v>3</v>
      </c>
      <c r="H17" s="35" t="s">
        <v>194</v>
      </c>
      <c r="I17" s="47" t="s">
        <v>338</v>
      </c>
      <c r="J17" s="73" t="s">
        <v>252</v>
      </c>
      <c r="K17" s="73">
        <v>120.70614081468619</v>
      </c>
      <c r="L17" s="73">
        <v>122.1532183288508</v>
      </c>
      <c r="M17" s="73" t="s">
        <v>252</v>
      </c>
      <c r="N17" s="66">
        <v>3.1331240627259018</v>
      </c>
      <c r="O17" s="66">
        <v>5.8579809951275719</v>
      </c>
      <c r="P17" s="66">
        <v>0.53484708559688166</v>
      </c>
      <c r="Q17" s="66">
        <v>0.31214169806382908</v>
      </c>
      <c r="R17" s="66">
        <v>9.0848083878043617</v>
      </c>
      <c r="S17" s="66">
        <v>3.435864409455841E-2</v>
      </c>
      <c r="T17" s="66">
        <v>58</v>
      </c>
      <c r="U17" s="66">
        <v>543</v>
      </c>
    </row>
    <row r="18" spans="1:21" ht="21">
      <c r="A18" s="35" t="s">
        <v>89</v>
      </c>
      <c r="B18" s="35" t="s">
        <v>82</v>
      </c>
      <c r="C18" s="35" t="s">
        <v>14</v>
      </c>
      <c r="D18" s="35">
        <v>51</v>
      </c>
      <c r="E18" s="35">
        <v>15000</v>
      </c>
      <c r="F18" s="35">
        <v>33</v>
      </c>
      <c r="G18" s="35">
        <v>1</v>
      </c>
      <c r="H18" s="35" t="s">
        <v>197</v>
      </c>
      <c r="I18" s="47" t="s">
        <v>291</v>
      </c>
      <c r="J18" s="73" t="s">
        <v>423</v>
      </c>
      <c r="K18" s="73">
        <v>91.318643021235445</v>
      </c>
      <c r="L18" s="73">
        <v>114.90219524653369</v>
      </c>
      <c r="M18" s="73" t="s">
        <v>423</v>
      </c>
      <c r="N18" s="66">
        <v>2.0492935291024001</v>
      </c>
      <c r="O18" s="66">
        <v>4.8579809951275719</v>
      </c>
      <c r="P18" s="66">
        <v>0.42184058174739408</v>
      </c>
      <c r="Q18" s="66">
        <v>0.29249621887745392</v>
      </c>
      <c r="R18" s="66">
        <v>8.184875342908283</v>
      </c>
      <c r="S18" s="66">
        <v>3.5736184929301917E-2</v>
      </c>
      <c r="T18" s="66">
        <v>29</v>
      </c>
      <c r="U18" s="66">
        <v>291</v>
      </c>
    </row>
    <row r="19" spans="1:21" ht="21">
      <c r="A19" s="35" t="s">
        <v>89</v>
      </c>
      <c r="B19" s="35" t="s">
        <v>82</v>
      </c>
      <c r="C19" s="35" t="s">
        <v>21</v>
      </c>
      <c r="D19" s="35">
        <v>51</v>
      </c>
      <c r="E19" s="35">
        <v>15000</v>
      </c>
      <c r="F19" s="35">
        <v>33</v>
      </c>
      <c r="G19" s="35">
        <v>2</v>
      </c>
      <c r="H19" s="35" t="s">
        <v>199</v>
      </c>
      <c r="I19" s="47" t="s">
        <v>292</v>
      </c>
      <c r="J19" s="73" t="s">
        <v>234</v>
      </c>
      <c r="K19" s="73">
        <v>147.0767859424644</v>
      </c>
      <c r="L19" s="73">
        <v>111.8260930624715</v>
      </c>
      <c r="M19" s="73" t="s">
        <v>234</v>
      </c>
      <c r="N19" s="66">
        <v>2.997798477748753</v>
      </c>
      <c r="O19" s="66">
        <v>5.7548875021634682</v>
      </c>
      <c r="P19" s="66">
        <v>0.52091348034549301</v>
      </c>
      <c r="Q19" s="66">
        <v>0.37395964996038622</v>
      </c>
      <c r="R19" s="66">
        <v>9.041659151637214</v>
      </c>
      <c r="S19" s="66">
        <v>4.1359626998621328E-2</v>
      </c>
      <c r="T19" s="66">
        <v>54</v>
      </c>
      <c r="U19" s="66">
        <v>527</v>
      </c>
    </row>
    <row r="20" spans="1:21" ht="21">
      <c r="A20" s="35" t="s">
        <v>89</v>
      </c>
      <c r="B20" s="35" t="s">
        <v>82</v>
      </c>
      <c r="C20" s="35" t="s">
        <v>22</v>
      </c>
      <c r="D20" s="35">
        <v>51</v>
      </c>
      <c r="E20" s="35">
        <v>15000</v>
      </c>
      <c r="F20" s="35">
        <v>33</v>
      </c>
      <c r="G20" s="35">
        <v>3</v>
      </c>
      <c r="H20" s="35" t="s">
        <v>194</v>
      </c>
      <c r="I20" s="47" t="s">
        <v>293</v>
      </c>
      <c r="J20" s="73" t="s">
        <v>228</v>
      </c>
      <c r="K20" s="73">
        <v>139.77040346514039</v>
      </c>
      <c r="L20" s="73">
        <v>111.9026237771004</v>
      </c>
      <c r="M20" s="73" t="s">
        <v>228</v>
      </c>
      <c r="N20" s="66">
        <v>2.551688573405662</v>
      </c>
      <c r="O20" s="66">
        <v>5.7279204545631988</v>
      </c>
      <c r="P20" s="66">
        <v>0.44548254355956302</v>
      </c>
      <c r="Q20" s="66">
        <v>0.34876563515235642</v>
      </c>
      <c r="R20" s="66">
        <v>8.8201789624151878</v>
      </c>
      <c r="S20" s="66">
        <v>3.9541786695998678E-2</v>
      </c>
      <c r="T20" s="66">
        <v>53</v>
      </c>
      <c r="U20" s="66">
        <v>452</v>
      </c>
    </row>
    <row r="21" spans="1:21" ht="21">
      <c r="A21" s="35" t="s">
        <v>90</v>
      </c>
      <c r="B21" s="35" t="s">
        <v>82</v>
      </c>
      <c r="C21" s="35" t="s">
        <v>22</v>
      </c>
      <c r="D21" s="35">
        <v>37</v>
      </c>
      <c r="E21" s="35">
        <v>6000</v>
      </c>
      <c r="F21" s="35">
        <v>19</v>
      </c>
      <c r="G21" s="35">
        <v>1</v>
      </c>
      <c r="H21" s="35" t="s">
        <v>197</v>
      </c>
      <c r="I21" s="47" t="s">
        <v>294</v>
      </c>
      <c r="J21" s="73" t="s">
        <v>424</v>
      </c>
      <c r="K21" s="73">
        <v>96.275218625992878</v>
      </c>
      <c r="L21" s="73">
        <v>67.648715407704728</v>
      </c>
      <c r="M21" s="73" t="s">
        <v>424</v>
      </c>
      <c r="N21" s="66">
        <v>1.862147848011062</v>
      </c>
      <c r="O21" s="66">
        <v>4.7548875021634682</v>
      </c>
      <c r="P21" s="66">
        <v>0.39162816095307967</v>
      </c>
      <c r="Q21" s="66">
        <v>0.14976594326442241</v>
      </c>
      <c r="R21" s="66">
        <v>8.011227255423254</v>
      </c>
      <c r="S21" s="66">
        <v>1.8694506907544949E-2</v>
      </c>
      <c r="T21" s="66">
        <v>27</v>
      </c>
      <c r="U21" s="66">
        <v>258</v>
      </c>
    </row>
    <row r="22" spans="1:21" ht="21">
      <c r="A22" s="35" t="s">
        <v>90</v>
      </c>
      <c r="B22" s="35" t="s">
        <v>82</v>
      </c>
      <c r="C22" s="35" t="s">
        <v>14</v>
      </c>
      <c r="D22" s="35">
        <v>37</v>
      </c>
      <c r="E22" s="35">
        <v>6000</v>
      </c>
      <c r="F22" s="35">
        <v>19</v>
      </c>
      <c r="G22" s="35">
        <v>2</v>
      </c>
      <c r="H22" s="35" t="s">
        <v>199</v>
      </c>
      <c r="I22" s="47" t="s">
        <v>295</v>
      </c>
      <c r="J22" s="73" t="s">
        <v>200</v>
      </c>
      <c r="K22" s="73">
        <v>84.328656455850677</v>
      </c>
      <c r="L22" s="73">
        <v>85.461909782870052</v>
      </c>
      <c r="M22" s="73" t="s">
        <v>200</v>
      </c>
      <c r="N22" s="66">
        <v>2.1451799226262689</v>
      </c>
      <c r="O22" s="66">
        <v>4.1699250014423122</v>
      </c>
      <c r="P22" s="66">
        <v>0.51444088847743896</v>
      </c>
      <c r="Q22" s="66">
        <v>0.1613148900393904</v>
      </c>
      <c r="R22" s="66">
        <v>7.4838157772642564</v>
      </c>
      <c r="S22" s="66">
        <v>2.1555165819215259E-2</v>
      </c>
      <c r="T22" s="66">
        <v>18</v>
      </c>
      <c r="U22" s="66">
        <v>179</v>
      </c>
    </row>
    <row r="23" spans="1:21" ht="21">
      <c r="A23" s="35" t="s">
        <v>90</v>
      </c>
      <c r="B23" s="35" t="s">
        <v>82</v>
      </c>
      <c r="C23" s="35" t="s">
        <v>21</v>
      </c>
      <c r="D23" s="35">
        <v>37</v>
      </c>
      <c r="E23" s="35">
        <v>6000</v>
      </c>
      <c r="F23" s="35">
        <v>19</v>
      </c>
      <c r="G23" s="35">
        <v>3</v>
      </c>
      <c r="H23" s="35" t="s">
        <v>194</v>
      </c>
      <c r="I23" s="46" t="s">
        <v>296</v>
      </c>
      <c r="J23" s="73" t="s">
        <v>272</v>
      </c>
      <c r="K23" s="73">
        <v>109.30054539678331</v>
      </c>
      <c r="L23" s="73">
        <v>77.560375831196708</v>
      </c>
      <c r="M23" s="73" t="s">
        <v>272</v>
      </c>
      <c r="N23" s="66">
        <v>1.562281786135058</v>
      </c>
      <c r="O23" s="66">
        <v>4.9541963103868749</v>
      </c>
      <c r="P23" s="66">
        <v>0.31534515151521292</v>
      </c>
      <c r="Q23" s="66">
        <v>0.17098975585526999</v>
      </c>
      <c r="R23" s="66">
        <v>8.0498485494505623</v>
      </c>
      <c r="S23" s="66">
        <v>2.1241363089612511E-2</v>
      </c>
      <c r="T23" s="66">
        <v>31</v>
      </c>
      <c r="U23" s="66">
        <v>265</v>
      </c>
    </row>
    <row r="24" spans="1:21" ht="21">
      <c r="A24" s="35" t="s">
        <v>91</v>
      </c>
      <c r="B24" s="35" t="s">
        <v>82</v>
      </c>
      <c r="C24" s="35" t="s">
        <v>14</v>
      </c>
      <c r="D24" s="35">
        <v>30</v>
      </c>
      <c r="E24" s="35">
        <v>7000</v>
      </c>
      <c r="F24" s="35">
        <v>12</v>
      </c>
      <c r="G24" s="35">
        <v>1</v>
      </c>
      <c r="H24" s="35" t="s">
        <v>197</v>
      </c>
      <c r="I24" s="47" t="s">
        <v>297</v>
      </c>
      <c r="J24" s="73" t="s">
        <v>425</v>
      </c>
      <c r="K24" s="73">
        <v>151.65669383282341</v>
      </c>
      <c r="L24" s="73">
        <v>132.23919277345709</v>
      </c>
      <c r="M24" s="73" t="s">
        <v>425</v>
      </c>
      <c r="N24" s="66">
        <v>2.652586847709383</v>
      </c>
      <c r="O24" s="66">
        <v>5</v>
      </c>
      <c r="P24" s="66">
        <v>0.53051736954187667</v>
      </c>
      <c r="Q24" s="66">
        <v>0.2213147873065294</v>
      </c>
      <c r="R24" s="66">
        <v>8.2667865406949019</v>
      </c>
      <c r="S24" s="66">
        <v>2.677156186591528E-2</v>
      </c>
      <c r="T24" s="66">
        <v>32</v>
      </c>
      <c r="U24" s="66">
        <v>308</v>
      </c>
    </row>
    <row r="25" spans="1:21" ht="21">
      <c r="A25" s="35" t="s">
        <v>91</v>
      </c>
      <c r="B25" s="35" t="s">
        <v>82</v>
      </c>
      <c r="C25" s="35" t="s">
        <v>22</v>
      </c>
      <c r="D25" s="35">
        <v>30</v>
      </c>
      <c r="E25" s="35">
        <v>7000</v>
      </c>
      <c r="F25" s="35">
        <v>12</v>
      </c>
      <c r="G25" s="35">
        <v>2</v>
      </c>
      <c r="H25" s="35" t="s">
        <v>199</v>
      </c>
      <c r="I25" s="47" t="s">
        <v>298</v>
      </c>
      <c r="J25" s="73" t="s">
        <v>216</v>
      </c>
      <c r="K25" s="73">
        <v>136.21237152974649</v>
      </c>
      <c r="L25" s="73">
        <v>79.082211426375849</v>
      </c>
      <c r="M25" s="73" t="s">
        <v>216</v>
      </c>
      <c r="N25" s="66">
        <v>1.8539752291908549</v>
      </c>
      <c r="O25" s="66">
        <v>4.9068905956085187</v>
      </c>
      <c r="P25" s="66">
        <v>0.3778309691375823</v>
      </c>
      <c r="Q25" s="66">
        <v>0.17712972943608071</v>
      </c>
      <c r="R25" s="66">
        <v>7.9600019320680806</v>
      </c>
      <c r="S25" s="66">
        <v>2.2252473171204459E-2</v>
      </c>
      <c r="T25" s="66">
        <v>30</v>
      </c>
      <c r="U25" s="66">
        <v>249</v>
      </c>
    </row>
    <row r="26" spans="1:21" ht="21">
      <c r="A26" s="35" t="s">
        <v>91</v>
      </c>
      <c r="B26" s="35" t="s">
        <v>82</v>
      </c>
      <c r="C26" s="35" t="s">
        <v>21</v>
      </c>
      <c r="D26" s="35">
        <v>30</v>
      </c>
      <c r="E26" s="35">
        <v>7000</v>
      </c>
      <c r="F26" s="35">
        <v>12</v>
      </c>
      <c r="G26" s="35">
        <v>3</v>
      </c>
      <c r="H26" s="35" t="s">
        <v>194</v>
      </c>
      <c r="I26" s="47" t="s">
        <v>299</v>
      </c>
      <c r="J26" s="73" t="s">
        <v>206</v>
      </c>
      <c r="K26" s="73">
        <v>157.37781442822441</v>
      </c>
      <c r="L26" s="73">
        <v>67.774044705529192</v>
      </c>
      <c r="M26" s="73" t="s">
        <v>206</v>
      </c>
      <c r="N26" s="66">
        <v>2.3942458153765518</v>
      </c>
      <c r="O26" s="66">
        <v>4.8579809951275719</v>
      </c>
      <c r="P26" s="66">
        <v>0.49284791722691329</v>
      </c>
      <c r="Q26" s="66">
        <v>0.19338991945704559</v>
      </c>
      <c r="R26" s="66">
        <v>8.3037807481771022</v>
      </c>
      <c r="S26" s="66">
        <v>2.3289381707181971E-2</v>
      </c>
      <c r="T26" s="66">
        <v>29</v>
      </c>
      <c r="U26" s="66">
        <v>316</v>
      </c>
    </row>
    <row r="27" spans="1:21" ht="21">
      <c r="A27" s="35" t="s">
        <v>105</v>
      </c>
      <c r="B27" s="35" t="s">
        <v>66</v>
      </c>
      <c r="C27" s="35" t="s">
        <v>22</v>
      </c>
      <c r="D27" s="35">
        <v>40</v>
      </c>
      <c r="E27" s="35">
        <v>5000</v>
      </c>
      <c r="F27" s="35">
        <v>15</v>
      </c>
      <c r="G27" s="35">
        <v>1</v>
      </c>
      <c r="H27" s="35" t="s">
        <v>197</v>
      </c>
      <c r="I27" s="47" t="s">
        <v>339</v>
      </c>
      <c r="J27" s="73" t="s">
        <v>426</v>
      </c>
      <c r="K27" s="73">
        <v>100.0724678507965</v>
      </c>
      <c r="L27" s="73">
        <v>77.472504447940409</v>
      </c>
      <c r="M27" s="73" t="s">
        <v>426</v>
      </c>
      <c r="N27" s="66">
        <v>2.0848763715065131</v>
      </c>
      <c r="O27" s="66">
        <v>5</v>
      </c>
      <c r="P27" s="66">
        <v>0.4169752743013026</v>
      </c>
      <c r="Q27" s="66">
        <v>0.18128066526185649</v>
      </c>
      <c r="R27" s="66">
        <v>8.1241213118291871</v>
      </c>
      <c r="S27" s="66">
        <v>2.231387965587139E-2</v>
      </c>
      <c r="T27" s="66">
        <v>32</v>
      </c>
      <c r="U27" s="66">
        <v>279</v>
      </c>
    </row>
    <row r="28" spans="1:21" ht="21">
      <c r="A28" s="35" t="s">
        <v>105</v>
      </c>
      <c r="B28" s="35" t="s">
        <v>66</v>
      </c>
      <c r="C28" s="35" t="s">
        <v>21</v>
      </c>
      <c r="D28" s="35">
        <v>40</v>
      </c>
      <c r="E28" s="35">
        <v>5000</v>
      </c>
      <c r="F28" s="35">
        <v>15</v>
      </c>
      <c r="G28" s="35">
        <v>2</v>
      </c>
      <c r="H28" s="35" t="s">
        <v>199</v>
      </c>
      <c r="I28" s="47" t="s">
        <v>340</v>
      </c>
      <c r="J28" s="73" t="s">
        <v>262</v>
      </c>
      <c r="K28" s="73">
        <v>104.1631365826629</v>
      </c>
      <c r="L28" s="73">
        <v>65.223797707209044</v>
      </c>
      <c r="M28" s="73" t="s">
        <v>262</v>
      </c>
      <c r="N28" s="66">
        <v>1.804575408713867</v>
      </c>
      <c r="O28" s="66">
        <v>5.0443941193584534</v>
      </c>
      <c r="P28" s="66">
        <v>0.35773878210439519</v>
      </c>
      <c r="Q28" s="66">
        <v>0.2187972500061616</v>
      </c>
      <c r="R28" s="66">
        <v>8.1189410727235067</v>
      </c>
      <c r="S28" s="66">
        <v>2.6948988549902839E-2</v>
      </c>
      <c r="T28" s="66">
        <v>33</v>
      </c>
      <c r="U28" s="66">
        <v>278</v>
      </c>
    </row>
    <row r="29" spans="1:21" ht="21">
      <c r="A29" s="35" t="s">
        <v>105</v>
      </c>
      <c r="B29" s="35" t="s">
        <v>66</v>
      </c>
      <c r="C29" s="35" t="s">
        <v>14</v>
      </c>
      <c r="D29" s="35">
        <v>40</v>
      </c>
      <c r="E29" s="35">
        <v>5000</v>
      </c>
      <c r="F29" s="35">
        <v>15</v>
      </c>
      <c r="G29" s="35">
        <v>3</v>
      </c>
      <c r="H29" s="35" t="s">
        <v>194</v>
      </c>
      <c r="I29" s="47" t="s">
        <v>341</v>
      </c>
      <c r="J29" s="73" t="s">
        <v>222</v>
      </c>
      <c r="K29" s="73">
        <v>74.115274488851909</v>
      </c>
      <c r="L29" s="73">
        <v>119.7191223537079</v>
      </c>
      <c r="M29" s="73" t="s">
        <v>222</v>
      </c>
      <c r="N29" s="66">
        <v>2.0605905681403942</v>
      </c>
      <c r="O29" s="66">
        <v>4.5235619560570131</v>
      </c>
      <c r="P29" s="66">
        <v>0.45552389646864022</v>
      </c>
      <c r="Q29" s="66">
        <v>0.20551590825779459</v>
      </c>
      <c r="R29" s="66">
        <v>7.8137811912170374</v>
      </c>
      <c r="S29" s="66">
        <v>2.6301722972330171E-2</v>
      </c>
      <c r="T29" s="66">
        <v>23</v>
      </c>
      <c r="U29" s="66">
        <v>225</v>
      </c>
    </row>
    <row r="30" spans="1:21" ht="21">
      <c r="A30" s="35" t="s">
        <v>92</v>
      </c>
      <c r="B30" s="35" t="s">
        <v>82</v>
      </c>
      <c r="C30" s="35" t="s">
        <v>22</v>
      </c>
      <c r="D30" s="35">
        <v>46</v>
      </c>
      <c r="E30" s="35">
        <v>7000</v>
      </c>
      <c r="F30" s="35">
        <v>25</v>
      </c>
      <c r="G30" s="35">
        <v>1</v>
      </c>
      <c r="H30" s="35" t="s">
        <v>197</v>
      </c>
      <c r="I30" s="47" t="s">
        <v>300</v>
      </c>
      <c r="J30" s="73" t="s">
        <v>427</v>
      </c>
      <c r="K30" s="73">
        <v>101.901045773159</v>
      </c>
      <c r="L30" s="73">
        <v>136.2326480890585</v>
      </c>
      <c r="M30" s="73" t="s">
        <v>427</v>
      </c>
      <c r="N30" s="66">
        <v>3.00072066558561</v>
      </c>
      <c r="O30" s="66">
        <v>5.3219280948873626</v>
      </c>
      <c r="P30" s="66">
        <v>0.563840888505864</v>
      </c>
      <c r="Q30" s="66">
        <v>0.27952887031505957</v>
      </c>
      <c r="R30" s="66">
        <v>8.6759570329417492</v>
      </c>
      <c r="S30" s="66">
        <v>3.2218793760010127E-2</v>
      </c>
      <c r="T30" s="66">
        <v>40</v>
      </c>
      <c r="U30" s="66">
        <v>409</v>
      </c>
    </row>
    <row r="31" spans="1:21" ht="21">
      <c r="A31" s="35" t="s">
        <v>92</v>
      </c>
      <c r="B31" s="35" t="s">
        <v>82</v>
      </c>
      <c r="C31" s="35" t="s">
        <v>21</v>
      </c>
      <c r="D31" s="35">
        <v>46</v>
      </c>
      <c r="E31" s="35">
        <v>7000</v>
      </c>
      <c r="F31" s="35">
        <v>25</v>
      </c>
      <c r="G31" s="35">
        <v>2</v>
      </c>
      <c r="H31" s="35" t="s">
        <v>199</v>
      </c>
      <c r="I31" s="47" t="s">
        <v>301</v>
      </c>
      <c r="J31" s="73" t="s">
        <v>235</v>
      </c>
      <c r="K31" s="73">
        <v>121.3971627761975</v>
      </c>
      <c r="L31" s="73">
        <v>149.46310495675621</v>
      </c>
      <c r="M31" s="73" t="s">
        <v>235</v>
      </c>
      <c r="N31" s="66">
        <v>3.3773463337370768</v>
      </c>
      <c r="O31" s="66">
        <v>5.5235619560570131</v>
      </c>
      <c r="P31" s="66">
        <v>0.61144355048530885</v>
      </c>
      <c r="Q31" s="66">
        <v>0.23804636384258551</v>
      </c>
      <c r="R31" s="66">
        <v>8.7279204545631988</v>
      </c>
      <c r="S31" s="66">
        <v>2.7274121605694542E-2</v>
      </c>
      <c r="T31" s="66">
        <v>46</v>
      </c>
      <c r="U31" s="66">
        <v>424</v>
      </c>
    </row>
    <row r="32" spans="1:21" ht="21">
      <c r="A32" s="35" t="s">
        <v>92</v>
      </c>
      <c r="B32" s="35" t="s">
        <v>82</v>
      </c>
      <c r="C32" s="35" t="s">
        <v>14</v>
      </c>
      <c r="D32" s="35">
        <v>46</v>
      </c>
      <c r="E32" s="35">
        <v>7000</v>
      </c>
      <c r="F32" s="35">
        <v>25</v>
      </c>
      <c r="G32" s="35">
        <v>3</v>
      </c>
      <c r="H32" s="35" t="s">
        <v>194</v>
      </c>
      <c r="I32" s="47" t="s">
        <v>302</v>
      </c>
      <c r="J32" s="73" t="s">
        <v>225</v>
      </c>
      <c r="K32" s="73">
        <v>90.859474703274884</v>
      </c>
      <c r="L32" s="73">
        <v>158.47978982707991</v>
      </c>
      <c r="M32" s="73" t="s">
        <v>225</v>
      </c>
      <c r="N32" s="66">
        <v>2.603628470844249</v>
      </c>
      <c r="O32" s="66">
        <v>4.9068905956085187</v>
      </c>
      <c r="P32" s="66">
        <v>0.53060658682188633</v>
      </c>
      <c r="Q32" s="66">
        <v>0.23876599150641969</v>
      </c>
      <c r="R32" s="66">
        <v>8.2288186904958813</v>
      </c>
      <c r="S32" s="66">
        <v>2.9015828454476651E-2</v>
      </c>
      <c r="T32" s="66">
        <v>30</v>
      </c>
      <c r="U32" s="66">
        <v>300</v>
      </c>
    </row>
    <row r="33" spans="1:21" ht="21">
      <c r="A33" s="35" t="s">
        <v>93</v>
      </c>
      <c r="B33" s="35" t="s">
        <v>82</v>
      </c>
      <c r="C33" s="35" t="s">
        <v>21</v>
      </c>
      <c r="D33" s="35">
        <v>35</v>
      </c>
      <c r="E33" s="35">
        <v>5000</v>
      </c>
      <c r="F33" s="35">
        <v>17</v>
      </c>
      <c r="G33" s="35">
        <v>1</v>
      </c>
      <c r="H33" s="35" t="s">
        <v>197</v>
      </c>
      <c r="I33" s="47" t="s">
        <v>303</v>
      </c>
      <c r="J33" s="73" t="s">
        <v>428</v>
      </c>
      <c r="K33" s="73">
        <v>123.94967280061999</v>
      </c>
      <c r="L33" s="73">
        <v>63.993437961583773</v>
      </c>
      <c r="M33" s="73" t="s">
        <v>428</v>
      </c>
      <c r="N33" s="66">
        <v>2.3332926564132839</v>
      </c>
      <c r="O33" s="66">
        <v>5.1292830169449664</v>
      </c>
      <c r="P33" s="66">
        <v>0.4548964540862882</v>
      </c>
      <c r="Q33" s="66">
        <v>0.2127219879876672</v>
      </c>
      <c r="R33" s="66">
        <v>8.4553272203045609</v>
      </c>
      <c r="S33" s="66">
        <v>2.5158338931796542E-2</v>
      </c>
      <c r="T33" s="66">
        <v>35</v>
      </c>
      <c r="U33" s="66">
        <v>351</v>
      </c>
    </row>
    <row r="34" spans="1:21" ht="21">
      <c r="A34" s="35" t="s">
        <v>93</v>
      </c>
      <c r="B34" s="35" t="s">
        <v>82</v>
      </c>
      <c r="C34" s="35" t="s">
        <v>14</v>
      </c>
      <c r="D34" s="35">
        <v>35</v>
      </c>
      <c r="E34" s="35">
        <v>5000</v>
      </c>
      <c r="F34" s="35">
        <v>17</v>
      </c>
      <c r="G34" s="35">
        <v>2</v>
      </c>
      <c r="H34" s="35" t="s">
        <v>199</v>
      </c>
      <c r="I34" s="47" t="s">
        <v>304</v>
      </c>
      <c r="J34" s="73" t="s">
        <v>249</v>
      </c>
      <c r="K34" s="73">
        <v>94.236288662289624</v>
      </c>
      <c r="L34" s="73">
        <v>140.6608004498465</v>
      </c>
      <c r="M34" s="73" t="s">
        <v>249</v>
      </c>
      <c r="N34" s="66">
        <v>2.831307766330089</v>
      </c>
      <c r="O34" s="66">
        <v>4.9068905956085187</v>
      </c>
      <c r="P34" s="66">
        <v>0.57700649956695649</v>
      </c>
      <c r="Q34" s="66">
        <v>0.22454318598555989</v>
      </c>
      <c r="R34" s="66">
        <v>8.3398500028846243</v>
      </c>
      <c r="S34" s="66">
        <v>2.6924127641131911E-2</v>
      </c>
      <c r="T34" s="66">
        <v>30</v>
      </c>
      <c r="U34" s="66">
        <v>324</v>
      </c>
    </row>
    <row r="35" spans="1:21" ht="21">
      <c r="A35" s="35" t="s">
        <v>93</v>
      </c>
      <c r="B35" s="35" t="s">
        <v>82</v>
      </c>
      <c r="C35" s="35" t="s">
        <v>22</v>
      </c>
      <c r="D35" s="35">
        <v>35</v>
      </c>
      <c r="E35" s="35">
        <v>5000</v>
      </c>
      <c r="F35" s="35">
        <v>17</v>
      </c>
      <c r="G35" s="35">
        <v>3</v>
      </c>
      <c r="H35" s="35" t="s">
        <v>194</v>
      </c>
      <c r="I35" s="47" t="s">
        <v>305</v>
      </c>
      <c r="J35" s="73" t="s">
        <v>243</v>
      </c>
      <c r="K35" s="73">
        <v>112.6690186134352</v>
      </c>
      <c r="L35" s="73">
        <v>77.460012491554906</v>
      </c>
      <c r="M35" s="73" t="s">
        <v>243</v>
      </c>
      <c r="N35" s="66">
        <v>2.4142781984871409</v>
      </c>
      <c r="O35" s="66">
        <v>5.2094533656289501</v>
      </c>
      <c r="P35" s="66">
        <v>0.46344175272133548</v>
      </c>
      <c r="Q35" s="66">
        <v>0.1700909857718795</v>
      </c>
      <c r="R35" s="66">
        <v>8.366322214245816</v>
      </c>
      <c r="S35" s="66">
        <v>2.0330436889252949E-2</v>
      </c>
      <c r="T35" s="66">
        <v>37</v>
      </c>
      <c r="U35" s="66">
        <v>330</v>
      </c>
    </row>
    <row r="36" spans="1:21" ht="21">
      <c r="A36" s="35" t="s">
        <v>118</v>
      </c>
      <c r="B36" s="35" t="s">
        <v>65</v>
      </c>
      <c r="C36" s="35" t="s">
        <v>21</v>
      </c>
      <c r="D36" s="35">
        <v>44</v>
      </c>
      <c r="E36" s="35">
        <v>10000</v>
      </c>
      <c r="F36" s="35">
        <v>21</v>
      </c>
      <c r="G36" s="35">
        <v>1</v>
      </c>
      <c r="H36" s="35" t="s">
        <v>197</v>
      </c>
      <c r="I36" s="47" t="s">
        <v>342</v>
      </c>
      <c r="J36" s="73" t="s">
        <v>429</v>
      </c>
      <c r="K36" s="73">
        <v>93.975103884227721</v>
      </c>
      <c r="L36" s="73">
        <v>79.162738311031148</v>
      </c>
      <c r="M36" s="73" t="s">
        <v>429</v>
      </c>
      <c r="N36" s="66">
        <v>1.9535950312045349</v>
      </c>
      <c r="O36" s="66">
        <v>4.6438561897747244</v>
      </c>
      <c r="P36" s="66">
        <v>0.42068379195422601</v>
      </c>
      <c r="Q36" s="66">
        <v>9.8997838685362827E-2</v>
      </c>
      <c r="R36" s="66">
        <v>7.8073549220576037</v>
      </c>
      <c r="S36" s="66">
        <v>1.26800740678089E-2</v>
      </c>
      <c r="T36" s="66">
        <v>25</v>
      </c>
      <c r="U36" s="66">
        <v>224</v>
      </c>
    </row>
    <row r="37" spans="1:21" ht="21">
      <c r="A37" s="35" t="s">
        <v>118</v>
      </c>
      <c r="B37" s="35" t="s">
        <v>65</v>
      </c>
      <c r="C37" s="35" t="s">
        <v>14</v>
      </c>
      <c r="D37" s="35">
        <v>44</v>
      </c>
      <c r="E37" s="35">
        <v>10000</v>
      </c>
      <c r="F37" s="35">
        <v>21</v>
      </c>
      <c r="G37" s="35">
        <v>2</v>
      </c>
      <c r="H37" s="35" t="s">
        <v>194</v>
      </c>
      <c r="I37" s="47" t="s">
        <v>343</v>
      </c>
      <c r="J37" s="73" t="s">
        <v>244</v>
      </c>
      <c r="K37" s="73">
        <v>79.86042650735223</v>
      </c>
      <c r="L37" s="73">
        <v>131.18754302733359</v>
      </c>
      <c r="M37" s="73" t="s">
        <v>244</v>
      </c>
      <c r="N37" s="66">
        <v>1.9476940538898531</v>
      </c>
      <c r="O37" s="66">
        <v>3.7004397181410922</v>
      </c>
      <c r="P37" s="66">
        <v>0.52634124651225844</v>
      </c>
      <c r="Q37" s="66">
        <v>0.17708496821960659</v>
      </c>
      <c r="R37" s="66">
        <v>6.9068905956085187</v>
      </c>
      <c r="S37" s="66">
        <v>2.5638884208213641E-2</v>
      </c>
      <c r="T37" s="66">
        <v>13</v>
      </c>
      <c r="U37" s="66">
        <v>120</v>
      </c>
    </row>
    <row r="38" spans="1:21" ht="21">
      <c r="A38" s="35" t="s">
        <v>118</v>
      </c>
      <c r="B38" s="35" t="s">
        <v>65</v>
      </c>
      <c r="C38" s="35" t="s">
        <v>22</v>
      </c>
      <c r="D38" s="35">
        <v>44</v>
      </c>
      <c r="E38" s="35">
        <v>10000</v>
      </c>
      <c r="F38" s="35">
        <v>21</v>
      </c>
      <c r="G38" s="35">
        <v>3</v>
      </c>
      <c r="H38" s="35" t="s">
        <v>199</v>
      </c>
      <c r="I38" s="47" t="s">
        <v>344</v>
      </c>
      <c r="J38" s="73" t="s">
        <v>257</v>
      </c>
      <c r="K38" s="73">
        <v>96.906308391325297</v>
      </c>
      <c r="L38" s="73">
        <v>112.1419028394114</v>
      </c>
      <c r="M38" s="73" t="s">
        <v>257</v>
      </c>
      <c r="N38" s="66">
        <v>1.4128081393210079</v>
      </c>
      <c r="O38" s="66">
        <v>5.3219280948873626</v>
      </c>
      <c r="P38" s="66">
        <v>0.26546922734229639</v>
      </c>
      <c r="Q38" s="66">
        <v>0.124054331773361</v>
      </c>
      <c r="R38" s="66">
        <v>8.1085244567781682</v>
      </c>
      <c r="S38" s="66">
        <v>1.529924864068951E-2</v>
      </c>
      <c r="T38" s="66">
        <v>40</v>
      </c>
      <c r="U38" s="66">
        <v>276</v>
      </c>
    </row>
    <row r="39" spans="1:21" ht="21">
      <c r="A39" s="35" t="s">
        <v>94</v>
      </c>
      <c r="B39" s="35" t="s">
        <v>82</v>
      </c>
      <c r="C39" s="35" t="s">
        <v>21</v>
      </c>
      <c r="D39" s="35">
        <v>42</v>
      </c>
      <c r="E39" s="35">
        <v>6000</v>
      </c>
      <c r="F39" s="35">
        <v>23</v>
      </c>
      <c r="G39" s="35">
        <v>1</v>
      </c>
      <c r="H39" s="35" t="s">
        <v>197</v>
      </c>
      <c r="I39" s="47" t="s">
        <v>306</v>
      </c>
      <c r="J39" s="73" t="s">
        <v>430</v>
      </c>
      <c r="K39" s="73">
        <v>123.050993412984</v>
      </c>
      <c r="L39" s="73">
        <v>88.039946667712044</v>
      </c>
      <c r="M39" s="73" t="s">
        <v>430</v>
      </c>
      <c r="N39" s="66">
        <v>2.563467724626399</v>
      </c>
      <c r="O39" s="66">
        <v>5.3575520046180838</v>
      </c>
      <c r="P39" s="66">
        <v>0.47847743193472508</v>
      </c>
      <c r="Q39" s="66">
        <v>0.1739926951682424</v>
      </c>
      <c r="R39" s="66">
        <v>8.4387918525782606</v>
      </c>
      <c r="S39" s="66">
        <v>2.061819964371835E-2</v>
      </c>
      <c r="T39" s="66">
        <v>41</v>
      </c>
      <c r="U39" s="66">
        <v>347</v>
      </c>
    </row>
    <row r="40" spans="1:21" ht="21">
      <c r="A40" s="35" t="s">
        <v>94</v>
      </c>
      <c r="B40" s="35" t="s">
        <v>82</v>
      </c>
      <c r="C40" s="35" t="s">
        <v>22</v>
      </c>
      <c r="D40" s="35">
        <v>42</v>
      </c>
      <c r="E40" s="35">
        <v>6000</v>
      </c>
      <c r="F40" s="35">
        <v>23</v>
      </c>
      <c r="G40" s="35">
        <v>2</v>
      </c>
      <c r="H40" s="35" t="s">
        <v>199</v>
      </c>
      <c r="I40" s="47" t="s">
        <v>307</v>
      </c>
      <c r="J40" s="73" t="s">
        <v>236</v>
      </c>
      <c r="K40" s="73">
        <v>115.6031503294767</v>
      </c>
      <c r="L40" s="73">
        <v>93.324488960046196</v>
      </c>
      <c r="M40" s="73" t="s">
        <v>236</v>
      </c>
      <c r="N40" s="66">
        <v>2.268380482076517</v>
      </c>
      <c r="O40" s="66">
        <v>5.2854022188622487</v>
      </c>
      <c r="P40" s="66">
        <v>0.42917840272992802</v>
      </c>
      <c r="Q40" s="66">
        <v>0.15999438774533351</v>
      </c>
      <c r="R40" s="66">
        <v>8.1189410727235067</v>
      </c>
      <c r="S40" s="66">
        <v>1.970631222867876E-2</v>
      </c>
      <c r="T40" s="66">
        <v>39</v>
      </c>
      <c r="U40" s="66">
        <v>278</v>
      </c>
    </row>
    <row r="41" spans="1:21" ht="21">
      <c r="A41" s="35" t="s">
        <v>94</v>
      </c>
      <c r="B41" s="35" t="s">
        <v>82</v>
      </c>
      <c r="C41" s="35" t="s">
        <v>14</v>
      </c>
      <c r="D41" s="35">
        <v>42</v>
      </c>
      <c r="E41" s="35">
        <v>6000</v>
      </c>
      <c r="F41" s="35">
        <v>23</v>
      </c>
      <c r="G41" s="35">
        <v>3</v>
      </c>
      <c r="H41" s="35" t="s">
        <v>194</v>
      </c>
      <c r="I41" s="47" t="s">
        <v>308</v>
      </c>
      <c r="J41" s="73" t="s">
        <v>213</v>
      </c>
      <c r="K41" s="73">
        <v>90.862353210728699</v>
      </c>
      <c r="L41" s="73">
        <v>135.61931240054531</v>
      </c>
      <c r="M41" s="73" t="s">
        <v>213</v>
      </c>
      <c r="N41" s="66">
        <v>2.4587625069945349</v>
      </c>
      <c r="O41" s="66">
        <v>4.4594316186372973</v>
      </c>
      <c r="P41" s="66">
        <v>0.5513623074112477</v>
      </c>
      <c r="Q41" s="66">
        <v>0.2185459196782378</v>
      </c>
      <c r="R41" s="66">
        <v>7.9541963103868749</v>
      </c>
      <c r="S41" s="66">
        <v>2.747555015619273E-2</v>
      </c>
      <c r="T41" s="66">
        <v>22</v>
      </c>
      <c r="U41" s="66">
        <v>248</v>
      </c>
    </row>
    <row r="42" spans="1:21" ht="21">
      <c r="A42" s="35" t="s">
        <v>110</v>
      </c>
      <c r="B42" s="35" t="s">
        <v>65</v>
      </c>
      <c r="C42" s="35" t="s">
        <v>14</v>
      </c>
      <c r="D42" s="35">
        <v>48</v>
      </c>
      <c r="E42" s="35">
        <v>6000</v>
      </c>
      <c r="F42" s="35">
        <v>10</v>
      </c>
      <c r="G42" s="35">
        <v>1</v>
      </c>
      <c r="H42" s="35" t="s">
        <v>197</v>
      </c>
      <c r="I42" s="47" t="s">
        <v>345</v>
      </c>
      <c r="J42" s="73" t="s">
        <v>431</v>
      </c>
      <c r="K42" s="73">
        <v>78.351324482907089</v>
      </c>
      <c r="L42" s="73">
        <v>170.24683649592001</v>
      </c>
      <c r="M42" s="73" t="s">
        <v>431</v>
      </c>
      <c r="N42" s="66">
        <v>3.3159145818552531</v>
      </c>
      <c r="O42" s="66">
        <v>4.9541963103868749</v>
      </c>
      <c r="P42" s="66">
        <v>0.66931432953174841</v>
      </c>
      <c r="Q42" s="66">
        <v>0.20806596452917619</v>
      </c>
      <c r="R42" s="66">
        <v>8.6438561897747253</v>
      </c>
      <c r="S42" s="66">
        <v>2.407096554606131E-2</v>
      </c>
      <c r="T42" s="66">
        <v>31</v>
      </c>
      <c r="U42" s="66">
        <v>400</v>
      </c>
    </row>
    <row r="43" spans="1:21" ht="21">
      <c r="A43" s="35" t="s">
        <v>110</v>
      </c>
      <c r="B43" s="35" t="s">
        <v>65</v>
      </c>
      <c r="C43" s="35" t="s">
        <v>21</v>
      </c>
      <c r="D43" s="35">
        <v>48</v>
      </c>
      <c r="E43" s="35">
        <v>6000</v>
      </c>
      <c r="F43" s="35">
        <v>10</v>
      </c>
      <c r="G43" s="35">
        <v>2</v>
      </c>
      <c r="H43" s="35" t="s">
        <v>199</v>
      </c>
      <c r="I43" s="46" t="s">
        <v>346</v>
      </c>
      <c r="J43" s="73" t="s">
        <v>263</v>
      </c>
      <c r="K43" s="73">
        <v>108.98703346378539</v>
      </c>
      <c r="L43" s="73">
        <v>126.7125450358305</v>
      </c>
      <c r="M43" s="73" t="s">
        <v>263</v>
      </c>
      <c r="N43" s="66">
        <v>2.9129832327947138</v>
      </c>
      <c r="O43" s="66">
        <v>5.3219280948873626</v>
      </c>
      <c r="P43" s="66">
        <v>0.54735486478916184</v>
      </c>
      <c r="Q43" s="66">
        <v>0.21472938448008591</v>
      </c>
      <c r="R43" s="66">
        <v>8.7481928495894596</v>
      </c>
      <c r="S43" s="66">
        <v>2.4545570516333871E-2</v>
      </c>
      <c r="T43" s="66">
        <v>40</v>
      </c>
      <c r="U43" s="66">
        <v>430</v>
      </c>
    </row>
    <row r="44" spans="1:21" ht="21">
      <c r="A44" s="35" t="s">
        <v>110</v>
      </c>
      <c r="B44" s="35" t="s">
        <v>65</v>
      </c>
      <c r="C44" s="35" t="s">
        <v>22</v>
      </c>
      <c r="D44" s="35">
        <v>48</v>
      </c>
      <c r="E44" s="35">
        <v>6000</v>
      </c>
      <c r="F44" s="35">
        <v>10</v>
      </c>
      <c r="G44" s="35">
        <v>3</v>
      </c>
      <c r="H44" s="35" t="s">
        <v>194</v>
      </c>
      <c r="I44" s="46" t="s">
        <v>347</v>
      </c>
      <c r="J44" s="73" t="s">
        <v>269</v>
      </c>
      <c r="K44" s="73">
        <v>97.0518405031181</v>
      </c>
      <c r="L44" s="73">
        <v>134.41082531368829</v>
      </c>
      <c r="M44" s="73" t="s">
        <v>269</v>
      </c>
      <c r="N44" s="66">
        <v>2.8047899609369842</v>
      </c>
      <c r="O44" s="66">
        <v>5.2854022188622487</v>
      </c>
      <c r="P44" s="66">
        <v>0.53066726897858518</v>
      </c>
      <c r="Q44" s="66">
        <v>0.2399060042764499</v>
      </c>
      <c r="R44" s="66">
        <v>8.8137811912170374</v>
      </c>
      <c r="S44" s="66">
        <v>2.721941912008401E-2</v>
      </c>
      <c r="T44" s="66">
        <v>39</v>
      </c>
      <c r="U44" s="66">
        <v>450</v>
      </c>
    </row>
    <row r="45" spans="1:21" ht="21">
      <c r="A45" s="35" t="s">
        <v>95</v>
      </c>
      <c r="B45" s="35" t="s">
        <v>82</v>
      </c>
      <c r="C45" s="35" t="s">
        <v>14</v>
      </c>
      <c r="D45" s="35">
        <v>42</v>
      </c>
      <c r="E45" s="35">
        <v>5000</v>
      </c>
      <c r="F45" s="35">
        <v>23</v>
      </c>
      <c r="G45" s="35">
        <v>1</v>
      </c>
      <c r="H45" s="35" t="s">
        <v>197</v>
      </c>
      <c r="I45" s="46" t="s">
        <v>309</v>
      </c>
      <c r="J45" s="73" t="s">
        <v>432</v>
      </c>
      <c r="K45" s="73">
        <v>111.57112074746649</v>
      </c>
      <c r="L45" s="73">
        <v>107.8018478302035</v>
      </c>
      <c r="M45" s="73" t="s">
        <v>432</v>
      </c>
      <c r="N45" s="66">
        <v>2.5135510452958512</v>
      </c>
      <c r="O45" s="66">
        <v>4.6438561897747244</v>
      </c>
      <c r="P45" s="66">
        <v>0.54126375636489832</v>
      </c>
      <c r="Q45" s="66">
        <v>0.22519746739853619</v>
      </c>
      <c r="R45" s="66">
        <v>8.0552824355011889</v>
      </c>
      <c r="S45" s="66">
        <v>2.7956495529697058E-2</v>
      </c>
      <c r="T45" s="66">
        <v>25</v>
      </c>
      <c r="U45" s="66">
        <v>266</v>
      </c>
    </row>
    <row r="46" spans="1:21" ht="21">
      <c r="A46" s="35" t="s">
        <v>95</v>
      </c>
      <c r="B46" s="35" t="s">
        <v>82</v>
      </c>
      <c r="C46" s="35" t="s">
        <v>21</v>
      </c>
      <c r="D46" s="35">
        <v>42</v>
      </c>
      <c r="E46" s="35">
        <v>5000</v>
      </c>
      <c r="F46" s="35">
        <v>23</v>
      </c>
      <c r="G46" s="35">
        <v>2</v>
      </c>
      <c r="H46" s="35" t="s">
        <v>199</v>
      </c>
      <c r="I46" s="47" t="s">
        <v>310</v>
      </c>
      <c r="J46" s="73" t="s">
        <v>217</v>
      </c>
      <c r="K46" s="73">
        <v>125.3356077159338</v>
      </c>
      <c r="L46" s="73">
        <v>121.7107534958965</v>
      </c>
      <c r="M46" s="73" t="s">
        <v>217</v>
      </c>
      <c r="N46" s="66">
        <v>3.128687240891149</v>
      </c>
      <c r="O46" s="66">
        <v>5.1699250014423122</v>
      </c>
      <c r="P46" s="66">
        <v>0.60517072104881675</v>
      </c>
      <c r="Q46" s="66">
        <v>0.28066463086501692</v>
      </c>
      <c r="R46" s="66">
        <v>8.7073591320808834</v>
      </c>
      <c r="S46" s="66">
        <v>3.2233037205385562E-2</v>
      </c>
      <c r="T46" s="66">
        <v>36</v>
      </c>
      <c r="U46" s="66">
        <v>418</v>
      </c>
    </row>
    <row r="47" spans="1:21" ht="21">
      <c r="A47" s="35" t="s">
        <v>95</v>
      </c>
      <c r="B47" s="35" t="s">
        <v>82</v>
      </c>
      <c r="C47" s="35" t="s">
        <v>22</v>
      </c>
      <c r="D47" s="35">
        <v>42</v>
      </c>
      <c r="E47" s="35">
        <v>5000</v>
      </c>
      <c r="F47" s="35">
        <v>23</v>
      </c>
      <c r="G47" s="35">
        <v>3</v>
      </c>
      <c r="H47" s="35" t="s">
        <v>194</v>
      </c>
      <c r="I47" s="46" t="s">
        <v>311</v>
      </c>
      <c r="J47" s="73" t="s">
        <v>264</v>
      </c>
      <c r="K47" s="73">
        <v>116.76549036214151</v>
      </c>
      <c r="L47" s="73">
        <v>103.9120643582666</v>
      </c>
      <c r="M47" s="73" t="s">
        <v>264</v>
      </c>
      <c r="N47" s="66">
        <v>2.5931789002823509</v>
      </c>
      <c r="O47" s="66">
        <v>5</v>
      </c>
      <c r="P47" s="66">
        <v>0.51863578005647015</v>
      </c>
      <c r="Q47" s="66">
        <v>0.25725011188294972</v>
      </c>
      <c r="R47" s="66">
        <v>8.4387918525782606</v>
      </c>
      <c r="S47" s="66">
        <v>3.0484234755044151E-2</v>
      </c>
      <c r="T47" s="66">
        <v>32</v>
      </c>
      <c r="U47" s="66">
        <v>347</v>
      </c>
    </row>
    <row r="48" spans="1:21" ht="21">
      <c r="A48" s="35" t="s">
        <v>96</v>
      </c>
      <c r="B48" s="35" t="s">
        <v>82</v>
      </c>
      <c r="C48" s="35" t="s">
        <v>22</v>
      </c>
      <c r="D48" s="35">
        <v>61</v>
      </c>
      <c r="E48" s="35">
        <v>8000</v>
      </c>
      <c r="F48" s="35">
        <v>40</v>
      </c>
      <c r="G48" s="35">
        <v>1</v>
      </c>
      <c r="H48" s="35" t="s">
        <v>197</v>
      </c>
      <c r="I48" s="47" t="s">
        <v>312</v>
      </c>
      <c r="J48" s="73" t="s">
        <v>433</v>
      </c>
      <c r="K48" s="73">
        <v>102.13708414817989</v>
      </c>
      <c r="L48" s="73">
        <v>64.594158444552789</v>
      </c>
      <c r="M48" s="73" t="s">
        <v>433</v>
      </c>
      <c r="N48" s="66">
        <v>1.831162139964815</v>
      </c>
      <c r="O48" s="66">
        <v>4.9541963103868749</v>
      </c>
      <c r="P48" s="66">
        <v>0.36961840533562118</v>
      </c>
      <c r="Q48" s="66">
        <v>0.13726561787820801</v>
      </c>
      <c r="R48" s="66">
        <v>7.9600019320680806</v>
      </c>
      <c r="S48" s="66">
        <v>1.7244420170956561E-2</v>
      </c>
      <c r="T48" s="66">
        <v>31</v>
      </c>
      <c r="U48" s="66">
        <v>249</v>
      </c>
    </row>
    <row r="49" spans="1:21" ht="21">
      <c r="A49" s="35" t="s">
        <v>96</v>
      </c>
      <c r="B49" s="35" t="s">
        <v>82</v>
      </c>
      <c r="C49" s="35" t="s">
        <v>14</v>
      </c>
      <c r="D49" s="35">
        <v>61</v>
      </c>
      <c r="E49" s="35">
        <v>8000</v>
      </c>
      <c r="F49" s="35">
        <v>40</v>
      </c>
      <c r="G49" s="35">
        <v>2</v>
      </c>
      <c r="H49" s="35" t="s">
        <v>199</v>
      </c>
      <c r="I49" s="47" t="s">
        <v>313</v>
      </c>
      <c r="J49" s="73" t="s">
        <v>208</v>
      </c>
      <c r="K49" s="73">
        <v>90.631324464913646</v>
      </c>
      <c r="L49" s="73">
        <v>126.0063474489003</v>
      </c>
      <c r="M49" s="73" t="s">
        <v>208</v>
      </c>
      <c r="N49" s="66">
        <v>2.2152999572055769</v>
      </c>
      <c r="O49" s="66">
        <v>4.4594316186372973</v>
      </c>
      <c r="P49" s="66">
        <v>0.49676733419280977</v>
      </c>
      <c r="Q49" s="66">
        <v>0.17885616534786161</v>
      </c>
      <c r="R49" s="66">
        <v>7.826548487290915</v>
      </c>
      <c r="S49" s="66">
        <v>2.285249566118398E-2</v>
      </c>
      <c r="T49" s="66">
        <v>22</v>
      </c>
      <c r="U49" s="66">
        <v>227</v>
      </c>
    </row>
    <row r="50" spans="1:21" ht="21">
      <c r="A50" s="35" t="s">
        <v>96</v>
      </c>
      <c r="B50" s="35" t="s">
        <v>82</v>
      </c>
      <c r="C50" s="35" t="s">
        <v>21</v>
      </c>
      <c r="D50" s="35">
        <v>61</v>
      </c>
      <c r="E50" s="35">
        <v>8000</v>
      </c>
      <c r="F50" s="35">
        <v>40</v>
      </c>
      <c r="G50" s="35">
        <v>3</v>
      </c>
      <c r="H50" s="35" t="s">
        <v>194</v>
      </c>
      <c r="I50" s="47" t="s">
        <v>314</v>
      </c>
      <c r="J50" s="73" t="s">
        <v>215</v>
      </c>
      <c r="K50" s="73">
        <v>98.64033746775695</v>
      </c>
      <c r="L50" s="73">
        <v>91.713088008977195</v>
      </c>
      <c r="M50" s="73" t="s">
        <v>215</v>
      </c>
      <c r="N50" s="66">
        <v>2.1080017981078711</v>
      </c>
      <c r="O50" s="66">
        <v>4.9541963103868749</v>
      </c>
      <c r="P50" s="66">
        <v>0.42549823746149779</v>
      </c>
      <c r="Q50" s="66">
        <v>0.13382191914373751</v>
      </c>
      <c r="R50" s="66">
        <v>8.1137421660491889</v>
      </c>
      <c r="S50" s="66">
        <v>1.64932427485429E-2</v>
      </c>
      <c r="T50" s="66">
        <v>31</v>
      </c>
      <c r="U50" s="66">
        <v>277</v>
      </c>
    </row>
    <row r="51" spans="1:21" ht="21">
      <c r="A51" s="35" t="s">
        <v>120</v>
      </c>
      <c r="B51" s="35" t="s">
        <v>65</v>
      </c>
      <c r="C51" s="35" t="s">
        <v>21</v>
      </c>
      <c r="D51" s="35">
        <v>38</v>
      </c>
      <c r="E51" s="35">
        <v>20000</v>
      </c>
      <c r="F51" s="35">
        <v>13</v>
      </c>
      <c r="G51" s="35">
        <v>1</v>
      </c>
      <c r="H51" s="35" t="s">
        <v>197</v>
      </c>
      <c r="I51" s="47" t="s">
        <v>348</v>
      </c>
      <c r="J51" s="73" t="s">
        <v>434</v>
      </c>
      <c r="K51" s="73">
        <v>110.0145026280664</v>
      </c>
      <c r="L51" s="73">
        <v>107.05655036194329</v>
      </c>
      <c r="M51" s="73" t="s">
        <v>434</v>
      </c>
      <c r="N51" s="66">
        <v>2.791492257565074</v>
      </c>
      <c r="O51" s="66">
        <v>5.1699250014423122</v>
      </c>
      <c r="P51" s="66">
        <v>0.53994830810626837</v>
      </c>
      <c r="Q51" s="66">
        <v>0.32323262860007868</v>
      </c>
      <c r="R51" s="66">
        <v>8.7813597135246599</v>
      </c>
      <c r="S51" s="66">
        <v>3.6808949769162762E-2</v>
      </c>
      <c r="T51" s="66">
        <v>36</v>
      </c>
      <c r="U51" s="66">
        <v>440</v>
      </c>
    </row>
    <row r="52" spans="1:21" ht="21">
      <c r="A52" s="35" t="s">
        <v>120</v>
      </c>
      <c r="B52" s="35" t="s">
        <v>65</v>
      </c>
      <c r="C52" s="35" t="s">
        <v>22</v>
      </c>
      <c r="D52" s="35">
        <v>38</v>
      </c>
      <c r="E52" s="35">
        <v>20000</v>
      </c>
      <c r="F52" s="35">
        <v>13</v>
      </c>
      <c r="G52" s="35">
        <v>2</v>
      </c>
      <c r="H52" s="35" t="s">
        <v>199</v>
      </c>
      <c r="I52" s="47" t="s">
        <v>349</v>
      </c>
      <c r="J52" s="73" t="s">
        <v>240</v>
      </c>
      <c r="K52" s="73">
        <v>99.771856692005159</v>
      </c>
      <c r="L52" s="73">
        <v>112.839986675264</v>
      </c>
      <c r="M52" s="73" t="s">
        <v>240</v>
      </c>
      <c r="N52" s="66">
        <v>2.922904614213834</v>
      </c>
      <c r="O52" s="66">
        <v>5.4918530963296748</v>
      </c>
      <c r="P52" s="66">
        <v>0.53222556447609182</v>
      </c>
      <c r="Q52" s="66">
        <v>0.22830546310697339</v>
      </c>
      <c r="R52" s="66">
        <v>8.611024797307353</v>
      </c>
      <c r="S52" s="66">
        <v>2.6513158245504528E-2</v>
      </c>
      <c r="T52" s="66">
        <v>45</v>
      </c>
      <c r="U52" s="66">
        <v>391</v>
      </c>
    </row>
    <row r="53" spans="1:21" ht="21">
      <c r="A53" s="35" t="s">
        <v>120</v>
      </c>
      <c r="B53" s="35" t="s">
        <v>65</v>
      </c>
      <c r="C53" s="35" t="s">
        <v>14</v>
      </c>
      <c r="D53" s="35">
        <v>38</v>
      </c>
      <c r="E53" s="35">
        <v>20000</v>
      </c>
      <c r="F53" s="35">
        <v>13</v>
      </c>
      <c r="G53" s="35">
        <v>3</v>
      </c>
      <c r="H53" s="35" t="s">
        <v>194</v>
      </c>
      <c r="I53" s="46" t="s">
        <v>350</v>
      </c>
      <c r="J53" s="73" t="s">
        <v>246</v>
      </c>
      <c r="K53" s="73">
        <v>85.143686741905285</v>
      </c>
      <c r="L53" s="73">
        <v>111.1613110067709</v>
      </c>
      <c r="M53" s="73" t="s">
        <v>246</v>
      </c>
      <c r="N53" s="66">
        <v>2.5149394787139152</v>
      </c>
      <c r="O53" s="66">
        <v>4.0874628412503391</v>
      </c>
      <c r="P53" s="66">
        <v>0.61528130686188809</v>
      </c>
      <c r="Q53" s="66">
        <v>0.2172985619221085</v>
      </c>
      <c r="R53" s="66">
        <v>7.6934869574993252</v>
      </c>
      <c r="S53" s="66">
        <v>2.8244483044231841E-2</v>
      </c>
      <c r="T53" s="66">
        <v>17</v>
      </c>
      <c r="U53" s="66">
        <v>207</v>
      </c>
    </row>
    <row r="54" spans="1:21" ht="21">
      <c r="A54" s="35" t="s">
        <v>97</v>
      </c>
      <c r="B54" s="35" t="s">
        <v>82</v>
      </c>
      <c r="C54" s="35" t="s">
        <v>14</v>
      </c>
      <c r="D54" s="35">
        <v>34</v>
      </c>
      <c r="E54" s="35">
        <v>10000</v>
      </c>
      <c r="F54" s="35">
        <v>16</v>
      </c>
      <c r="G54" s="35">
        <v>1</v>
      </c>
      <c r="H54" s="35" t="s">
        <v>197</v>
      </c>
      <c r="I54" s="47" t="s">
        <v>315</v>
      </c>
      <c r="J54" s="73" t="s">
        <v>435</v>
      </c>
      <c r="K54" s="73">
        <v>94.279467712972576</v>
      </c>
      <c r="L54" s="73">
        <v>111.727275089996</v>
      </c>
      <c r="M54" s="73" t="s">
        <v>435</v>
      </c>
      <c r="N54" s="66">
        <v>1.887859916066106</v>
      </c>
      <c r="O54" s="66">
        <v>4.3219280948873626</v>
      </c>
      <c r="P54" s="66">
        <v>0.43680965407530847</v>
      </c>
      <c r="Q54" s="66">
        <v>0.16443484806297881</v>
      </c>
      <c r="R54" s="66">
        <v>7.5313814605163119</v>
      </c>
      <c r="S54" s="66">
        <v>2.1833291664356359E-2</v>
      </c>
      <c r="T54" s="66">
        <v>20</v>
      </c>
      <c r="U54" s="66">
        <v>185</v>
      </c>
    </row>
    <row r="55" spans="1:21" ht="21">
      <c r="A55" s="35" t="s">
        <v>97</v>
      </c>
      <c r="B55" s="35" t="s">
        <v>82</v>
      </c>
      <c r="C55" s="35" t="s">
        <v>22</v>
      </c>
      <c r="D55" s="35">
        <v>34</v>
      </c>
      <c r="E55" s="35">
        <v>10000</v>
      </c>
      <c r="F55" s="35">
        <v>16</v>
      </c>
      <c r="G55" s="35">
        <v>2</v>
      </c>
      <c r="H55" s="35" t="s">
        <v>199</v>
      </c>
      <c r="I55" s="47" t="s">
        <v>316</v>
      </c>
      <c r="J55" s="73" t="s">
        <v>229</v>
      </c>
      <c r="K55" s="73">
        <v>123.2697696175936</v>
      </c>
      <c r="L55" s="73">
        <v>93.034152056988901</v>
      </c>
      <c r="M55" s="73" t="s">
        <v>229</v>
      </c>
      <c r="N55" s="66">
        <v>2.0519425612734952</v>
      </c>
      <c r="O55" s="66">
        <v>4.8073549220576037</v>
      </c>
      <c r="P55" s="66">
        <v>0.4268340063386124</v>
      </c>
      <c r="Q55" s="66">
        <v>0.1762989159627561</v>
      </c>
      <c r="R55" s="66">
        <v>8.1032878084120217</v>
      </c>
      <c r="S55" s="66">
        <v>2.1756467267488661E-2</v>
      </c>
      <c r="T55" s="66">
        <v>28</v>
      </c>
      <c r="U55" s="66">
        <v>275</v>
      </c>
    </row>
    <row r="56" spans="1:21" ht="21">
      <c r="A56" s="35" t="s">
        <v>97</v>
      </c>
      <c r="B56" s="35" t="s">
        <v>82</v>
      </c>
      <c r="C56" s="35" t="s">
        <v>21</v>
      </c>
      <c r="D56" s="35">
        <v>34</v>
      </c>
      <c r="E56" s="35">
        <v>10000</v>
      </c>
      <c r="F56" s="35">
        <v>16</v>
      </c>
      <c r="G56" s="35">
        <v>3</v>
      </c>
      <c r="H56" s="35" t="s">
        <v>194</v>
      </c>
      <c r="I56" s="47" t="s">
        <v>317</v>
      </c>
      <c r="J56" s="73" t="s">
        <v>233</v>
      </c>
      <c r="K56" s="73">
        <v>104.87043718074899</v>
      </c>
      <c r="L56" s="73">
        <v>85.021911923432697</v>
      </c>
      <c r="M56" s="73" t="s">
        <v>233</v>
      </c>
      <c r="N56" s="66">
        <v>1.813139704822827</v>
      </c>
      <c r="O56" s="66">
        <v>4.7004397181410917</v>
      </c>
      <c r="P56" s="66">
        <v>0.38573831674196618</v>
      </c>
      <c r="Q56" s="66">
        <v>0.15107729950059021</v>
      </c>
      <c r="R56" s="66">
        <v>7.6653359171851756</v>
      </c>
      <c r="S56" s="66">
        <v>1.9709155754268369E-2</v>
      </c>
      <c r="T56" s="66">
        <v>26</v>
      </c>
      <c r="U56" s="66">
        <v>203</v>
      </c>
    </row>
    <row r="57" spans="1:21" ht="21">
      <c r="A57" s="35" t="s">
        <v>98</v>
      </c>
      <c r="B57" s="35" t="s">
        <v>82</v>
      </c>
      <c r="C57" s="35" t="s">
        <v>22</v>
      </c>
      <c r="D57" s="35">
        <v>28</v>
      </c>
      <c r="E57" s="35">
        <v>10000</v>
      </c>
      <c r="F57" s="35">
        <v>3</v>
      </c>
      <c r="G57" s="35">
        <v>1</v>
      </c>
      <c r="H57" s="35" t="s">
        <v>197</v>
      </c>
      <c r="I57" s="47" t="s">
        <v>318</v>
      </c>
      <c r="J57" s="73" t="s">
        <v>436</v>
      </c>
      <c r="K57" s="73">
        <v>73.207956609756508</v>
      </c>
      <c r="L57" s="73">
        <v>77.743179857356367</v>
      </c>
      <c r="M57" s="73" t="s">
        <v>436</v>
      </c>
      <c r="N57" s="66">
        <v>1.361224916395263</v>
      </c>
      <c r="O57" s="66">
        <v>4.6438561897747244</v>
      </c>
      <c r="P57" s="66">
        <v>0.29312383087842703</v>
      </c>
      <c r="Q57" s="66">
        <v>0.13117856635656511</v>
      </c>
      <c r="R57" s="66">
        <v>7.651051691178929</v>
      </c>
      <c r="S57" s="66">
        <v>1.7145167965314349E-2</v>
      </c>
      <c r="T57" s="66">
        <v>25</v>
      </c>
      <c r="U57" s="66">
        <v>201</v>
      </c>
    </row>
    <row r="58" spans="1:21" ht="21">
      <c r="A58" s="35" t="s">
        <v>98</v>
      </c>
      <c r="B58" s="35" t="s">
        <v>82</v>
      </c>
      <c r="C58" s="35" t="s">
        <v>21</v>
      </c>
      <c r="D58" s="35">
        <v>28</v>
      </c>
      <c r="E58" s="35">
        <v>10000</v>
      </c>
      <c r="F58" s="35">
        <v>3</v>
      </c>
      <c r="G58" s="35">
        <v>2</v>
      </c>
      <c r="H58" s="35" t="s">
        <v>199</v>
      </c>
      <c r="I58" s="46" t="s">
        <v>319</v>
      </c>
      <c r="J58" s="73" t="s">
        <v>250</v>
      </c>
      <c r="K58" s="73">
        <v>72.790408142921834</v>
      </c>
      <c r="L58" s="73">
        <v>67.985467061868732</v>
      </c>
      <c r="M58" s="73" t="s">
        <v>250</v>
      </c>
      <c r="N58" s="66">
        <v>0.94650992469124606</v>
      </c>
      <c r="O58" s="66">
        <v>4.3219280948873626</v>
      </c>
      <c r="P58" s="66">
        <v>0.2190017751130387</v>
      </c>
      <c r="Q58" s="66">
        <v>9.2342658928875915E-2</v>
      </c>
      <c r="R58" s="66">
        <v>7.3837042924740519</v>
      </c>
      <c r="S58" s="66">
        <v>1.2506278051112841E-2</v>
      </c>
      <c r="T58" s="66">
        <v>20</v>
      </c>
      <c r="U58" s="66">
        <v>167</v>
      </c>
    </row>
    <row r="59" spans="1:21" ht="21">
      <c r="A59" s="35" t="s">
        <v>98</v>
      </c>
      <c r="B59" s="35" t="s">
        <v>82</v>
      </c>
      <c r="C59" s="35" t="s">
        <v>14</v>
      </c>
      <c r="D59" s="35">
        <v>28</v>
      </c>
      <c r="E59" s="35">
        <v>10000</v>
      </c>
      <c r="F59" s="35">
        <v>3</v>
      </c>
      <c r="G59" s="35">
        <v>3</v>
      </c>
      <c r="H59" s="35" t="s">
        <v>194</v>
      </c>
      <c r="I59" s="47" t="s">
        <v>320</v>
      </c>
      <c r="J59" s="73" t="s">
        <v>226</v>
      </c>
      <c r="K59" s="73">
        <v>63.563222404474658</v>
      </c>
      <c r="L59" s="73">
        <v>105.157925090557</v>
      </c>
      <c r="M59" s="73" t="s">
        <v>226</v>
      </c>
      <c r="N59" s="66">
        <v>1.650435599294507</v>
      </c>
      <c r="O59" s="66">
        <v>3.9068905956085191</v>
      </c>
      <c r="P59" s="66">
        <v>0.42244223607122622</v>
      </c>
      <c r="Q59" s="66">
        <v>0.14182739248961679</v>
      </c>
      <c r="R59" s="66">
        <v>6.9068905956085187</v>
      </c>
      <c r="S59" s="66">
        <v>2.0534188362530639E-2</v>
      </c>
      <c r="T59" s="66">
        <v>15</v>
      </c>
      <c r="U59" s="66">
        <v>120</v>
      </c>
    </row>
    <row r="60" spans="1:21" ht="21">
      <c r="A60" s="35" t="s">
        <v>99</v>
      </c>
      <c r="B60" s="35" t="s">
        <v>82</v>
      </c>
      <c r="C60" s="35" t="s">
        <v>14</v>
      </c>
      <c r="D60" s="35">
        <v>49</v>
      </c>
      <c r="E60" s="35">
        <v>5000</v>
      </c>
      <c r="F60" s="35">
        <v>21</v>
      </c>
      <c r="G60" s="35">
        <v>1</v>
      </c>
      <c r="H60" s="35" t="s">
        <v>197</v>
      </c>
      <c r="I60" s="47" t="s">
        <v>321</v>
      </c>
      <c r="J60" s="73" t="s">
        <v>437</v>
      </c>
      <c r="K60" s="73">
        <v>102.11649719177051</v>
      </c>
      <c r="L60" s="73">
        <v>149.00525963885659</v>
      </c>
      <c r="M60" s="73" t="s">
        <v>437</v>
      </c>
      <c r="N60" s="66">
        <v>2.260598006848817</v>
      </c>
      <c r="O60" s="66">
        <v>4.8579809951275719</v>
      </c>
      <c r="P60" s="66">
        <v>0.46533693917620061</v>
      </c>
      <c r="Q60" s="66">
        <v>0.15725287014094999</v>
      </c>
      <c r="R60" s="66">
        <v>8</v>
      </c>
      <c r="S60" s="66">
        <v>1.9656608767618759E-2</v>
      </c>
      <c r="T60" s="66">
        <v>29</v>
      </c>
      <c r="U60" s="66">
        <v>256</v>
      </c>
    </row>
    <row r="61" spans="1:21" ht="21">
      <c r="A61" s="35" t="s">
        <v>99</v>
      </c>
      <c r="B61" s="35" t="s">
        <v>82</v>
      </c>
      <c r="C61" s="35" t="s">
        <v>22</v>
      </c>
      <c r="D61" s="35">
        <v>49</v>
      </c>
      <c r="E61" s="35">
        <v>5000</v>
      </c>
      <c r="F61" s="35">
        <v>21</v>
      </c>
      <c r="G61" s="35">
        <v>2</v>
      </c>
      <c r="H61" s="35" t="s">
        <v>194</v>
      </c>
      <c r="I61" s="46" t="s">
        <v>322</v>
      </c>
      <c r="J61" s="73" t="s">
        <v>198</v>
      </c>
      <c r="K61" s="73">
        <v>127.29179843124361</v>
      </c>
      <c r="L61" s="73">
        <v>104.94410082102191</v>
      </c>
      <c r="M61" s="73" t="s">
        <v>198</v>
      </c>
      <c r="N61" s="66">
        <v>2.983333942317127</v>
      </c>
      <c r="O61" s="66">
        <v>5.3923174227787607</v>
      </c>
      <c r="P61" s="66">
        <v>0.55325636612463369</v>
      </c>
      <c r="Q61" s="66">
        <v>0.15589137447244569</v>
      </c>
      <c r="R61" s="66">
        <v>8.4757334309663985</v>
      </c>
      <c r="S61" s="66">
        <v>1.839267076320391E-2</v>
      </c>
      <c r="T61" s="66">
        <v>42</v>
      </c>
      <c r="U61" s="66">
        <v>356</v>
      </c>
    </row>
    <row r="62" spans="1:21" ht="21">
      <c r="A62" s="35" t="s">
        <v>99</v>
      </c>
      <c r="B62" s="35" t="s">
        <v>82</v>
      </c>
      <c r="C62" s="35" t="s">
        <v>21</v>
      </c>
      <c r="D62" s="35">
        <v>49</v>
      </c>
      <c r="E62" s="35">
        <v>5000</v>
      </c>
      <c r="F62" s="35">
        <v>21</v>
      </c>
      <c r="G62" s="35">
        <v>3</v>
      </c>
      <c r="H62" s="35" t="s">
        <v>199</v>
      </c>
      <c r="I62" s="46" t="s">
        <v>323</v>
      </c>
      <c r="J62" s="73" t="s">
        <v>221</v>
      </c>
      <c r="K62" s="73">
        <v>144.16614418610661</v>
      </c>
      <c r="L62" s="73">
        <v>110.3411677012558</v>
      </c>
      <c r="M62" s="73" t="s">
        <v>221</v>
      </c>
      <c r="N62" s="66">
        <v>3.2255949645828168</v>
      </c>
      <c r="O62" s="66">
        <v>5.7548875021634682</v>
      </c>
      <c r="P62" s="66">
        <v>0.5604966149851236</v>
      </c>
      <c r="Q62" s="66">
        <v>0.19848512232848681</v>
      </c>
      <c r="R62" s="66">
        <v>8.9307373375628867</v>
      </c>
      <c r="S62" s="66">
        <v>2.2224942334117669E-2</v>
      </c>
      <c r="T62" s="66">
        <v>54</v>
      </c>
      <c r="U62" s="66">
        <v>488</v>
      </c>
    </row>
    <row r="63" spans="1:21" ht="21">
      <c r="A63" s="35" t="s">
        <v>100</v>
      </c>
      <c r="B63" s="35" t="s">
        <v>82</v>
      </c>
      <c r="C63" s="35" t="s">
        <v>22</v>
      </c>
      <c r="D63" s="35">
        <v>38</v>
      </c>
      <c r="E63" s="35">
        <v>5000</v>
      </c>
      <c r="F63" s="35">
        <v>13</v>
      </c>
      <c r="G63" s="35">
        <v>1</v>
      </c>
      <c r="H63" s="35" t="s">
        <v>197</v>
      </c>
      <c r="I63" s="47" t="s">
        <v>324</v>
      </c>
      <c r="J63" s="73" t="s">
        <v>438</v>
      </c>
      <c r="K63" s="73">
        <v>122.83314037695919</v>
      </c>
      <c r="L63" s="73">
        <v>90.406515880730794</v>
      </c>
      <c r="M63" s="73" t="s">
        <v>438</v>
      </c>
      <c r="N63" s="66">
        <v>2.6800473742568158</v>
      </c>
      <c r="O63" s="66">
        <v>5.1292830169449664</v>
      </c>
      <c r="P63" s="66">
        <v>0.5224994147141192</v>
      </c>
      <c r="Q63" s="66">
        <v>0.21705689389219729</v>
      </c>
      <c r="R63" s="66">
        <v>8.7481928495894596</v>
      </c>
      <c r="S63" s="66">
        <v>2.4811626540947089E-2</v>
      </c>
      <c r="T63" s="66">
        <v>35</v>
      </c>
      <c r="U63" s="66">
        <v>430</v>
      </c>
    </row>
    <row r="64" spans="1:21" ht="21">
      <c r="A64" s="35" t="s">
        <v>100</v>
      </c>
      <c r="B64" s="35" t="s">
        <v>82</v>
      </c>
      <c r="C64" s="35" t="s">
        <v>21</v>
      </c>
      <c r="D64" s="35">
        <v>38</v>
      </c>
      <c r="E64" s="35">
        <v>5000</v>
      </c>
      <c r="F64" s="35">
        <v>13</v>
      </c>
      <c r="G64" s="35">
        <v>2</v>
      </c>
      <c r="H64" s="35" t="s">
        <v>194</v>
      </c>
      <c r="I64" s="47" t="s">
        <v>325</v>
      </c>
      <c r="J64" s="73" t="s">
        <v>270</v>
      </c>
      <c r="K64" s="73">
        <v>139.22606453523261</v>
      </c>
      <c r="L64" s="73">
        <v>85.387040184562636</v>
      </c>
      <c r="M64" s="73" t="s">
        <v>270</v>
      </c>
      <c r="N64" s="66">
        <v>2.6212002893196971</v>
      </c>
      <c r="O64" s="66">
        <v>5.3923174227787607</v>
      </c>
      <c r="P64" s="66">
        <v>0.48609903383042019</v>
      </c>
      <c r="Q64" s="66">
        <v>0.20920972362876331</v>
      </c>
      <c r="R64" s="66">
        <v>8.6546360285279675</v>
      </c>
      <c r="S64" s="66">
        <v>2.417313945256077E-2</v>
      </c>
      <c r="T64" s="66">
        <v>42</v>
      </c>
      <c r="U64" s="66">
        <v>403</v>
      </c>
    </row>
    <row r="65" spans="1:21" ht="21">
      <c r="A65" s="35" t="s">
        <v>100</v>
      </c>
      <c r="B65" s="35" t="s">
        <v>82</v>
      </c>
      <c r="C65" s="35" t="s">
        <v>14</v>
      </c>
      <c r="D65" s="35">
        <v>38</v>
      </c>
      <c r="E65" s="35">
        <v>5000</v>
      </c>
      <c r="F65" s="35">
        <v>13</v>
      </c>
      <c r="G65" s="35">
        <v>3</v>
      </c>
      <c r="H65" s="35" t="s">
        <v>199</v>
      </c>
      <c r="I65" s="47" t="s">
        <v>326</v>
      </c>
      <c r="J65" s="73" t="s">
        <v>203</v>
      </c>
      <c r="K65" s="73">
        <v>113.1472827901017</v>
      </c>
      <c r="L65" s="73">
        <v>121.5904554344562</v>
      </c>
      <c r="M65" s="73" t="s">
        <v>203</v>
      </c>
      <c r="N65" s="66">
        <v>2.3218075984629669</v>
      </c>
      <c r="O65" s="66">
        <v>5.0874628412503391</v>
      </c>
      <c r="P65" s="66">
        <v>0.4563782912844509</v>
      </c>
      <c r="Q65" s="66">
        <v>0.23922005597016971</v>
      </c>
      <c r="R65" s="66">
        <v>8.451211111832329</v>
      </c>
      <c r="S65" s="66">
        <v>2.8306008784379281E-2</v>
      </c>
      <c r="T65" s="66">
        <v>34</v>
      </c>
      <c r="U65" s="66">
        <v>350</v>
      </c>
    </row>
    <row r="66" spans="1:21" ht="21">
      <c r="A66" s="35" t="s">
        <v>101</v>
      </c>
      <c r="B66" s="35" t="s">
        <v>82</v>
      </c>
      <c r="C66" s="35" t="s">
        <v>21</v>
      </c>
      <c r="D66" s="35">
        <v>40</v>
      </c>
      <c r="E66" s="35">
        <v>8000</v>
      </c>
      <c r="F66" s="35">
        <v>13</v>
      </c>
      <c r="G66" s="35">
        <v>1</v>
      </c>
      <c r="H66" s="35" t="s">
        <v>197</v>
      </c>
      <c r="I66" s="47" t="s">
        <v>327</v>
      </c>
      <c r="J66" s="73" t="s">
        <v>439</v>
      </c>
      <c r="K66" s="73">
        <v>99.028235746468923</v>
      </c>
      <c r="L66" s="73">
        <v>81.56025678872615</v>
      </c>
      <c r="M66" s="73" t="s">
        <v>439</v>
      </c>
      <c r="N66" s="66">
        <v>1.7223523259757409</v>
      </c>
      <c r="O66" s="66">
        <v>4.9068905956085187</v>
      </c>
      <c r="P66" s="66">
        <v>0.35100687337866898</v>
      </c>
      <c r="Q66" s="66">
        <v>0.17896238710574261</v>
      </c>
      <c r="R66" s="66">
        <v>8.0056245491938789</v>
      </c>
      <c r="S66" s="66">
        <v>2.235458158274024E-2</v>
      </c>
      <c r="T66" s="66">
        <v>30</v>
      </c>
      <c r="U66" s="66">
        <v>257</v>
      </c>
    </row>
    <row r="67" spans="1:21" ht="21">
      <c r="A67" s="35" t="s">
        <v>101</v>
      </c>
      <c r="B67" s="35" t="s">
        <v>82</v>
      </c>
      <c r="C67" s="35" t="s">
        <v>14</v>
      </c>
      <c r="D67" s="35">
        <v>40</v>
      </c>
      <c r="E67" s="35">
        <v>8000</v>
      </c>
      <c r="F67" s="35">
        <v>13</v>
      </c>
      <c r="G67" s="35">
        <v>2</v>
      </c>
      <c r="H67" s="35" t="s">
        <v>194</v>
      </c>
      <c r="I67" s="47" t="s">
        <v>328</v>
      </c>
      <c r="J67" s="73" t="s">
        <v>261</v>
      </c>
      <c r="K67" s="73">
        <v>74.067876753688267</v>
      </c>
      <c r="L67" s="73">
        <v>106.82464758806471</v>
      </c>
      <c r="M67" s="73" t="s">
        <v>261</v>
      </c>
      <c r="N67" s="66">
        <v>1.1701222621074121</v>
      </c>
      <c r="O67" s="66">
        <v>4.3923174227787607</v>
      </c>
      <c r="P67" s="66">
        <v>0.26640202641983568</v>
      </c>
      <c r="Q67" s="66">
        <v>0.1469429639565388</v>
      </c>
      <c r="R67" s="66">
        <v>6.8948177633079437</v>
      </c>
      <c r="S67" s="66">
        <v>2.1312088150976689E-2</v>
      </c>
      <c r="T67" s="66">
        <v>21</v>
      </c>
      <c r="U67" s="66">
        <v>119</v>
      </c>
    </row>
    <row r="68" spans="1:21" ht="21">
      <c r="A68" s="35" t="s">
        <v>101</v>
      </c>
      <c r="B68" s="35" t="s">
        <v>82</v>
      </c>
      <c r="C68" s="35" t="s">
        <v>22</v>
      </c>
      <c r="D68" s="35">
        <v>40</v>
      </c>
      <c r="E68" s="35">
        <v>8000</v>
      </c>
      <c r="F68" s="35">
        <v>13</v>
      </c>
      <c r="G68" s="35">
        <v>3</v>
      </c>
      <c r="H68" s="35" t="s">
        <v>199</v>
      </c>
      <c r="I68" s="47" t="s">
        <v>329</v>
      </c>
      <c r="J68" s="73" t="s">
        <v>271</v>
      </c>
      <c r="K68" s="73">
        <v>94.075412972214266</v>
      </c>
      <c r="L68" s="73">
        <v>117.4654611933145</v>
      </c>
      <c r="M68" s="73" t="s">
        <v>271</v>
      </c>
      <c r="N68" s="66">
        <v>1.859722114683346</v>
      </c>
      <c r="O68" s="66">
        <v>5.0443941193584534</v>
      </c>
      <c r="P68" s="66">
        <v>0.368671057550092</v>
      </c>
      <c r="Q68" s="66">
        <v>0.1574437503713699</v>
      </c>
      <c r="R68" s="66">
        <v>8.0443941193584543</v>
      </c>
      <c r="S68" s="66">
        <v>1.9571859363838099E-2</v>
      </c>
      <c r="T68" s="66">
        <v>33</v>
      </c>
      <c r="U68" s="66">
        <v>264</v>
      </c>
    </row>
    <row r="69" spans="1:21" ht="21">
      <c r="A69" s="35" t="s">
        <v>102</v>
      </c>
      <c r="B69" s="35" t="s">
        <v>82</v>
      </c>
      <c r="C69" s="35" t="s">
        <v>21</v>
      </c>
      <c r="D69" s="35">
        <v>55</v>
      </c>
      <c r="E69" s="35">
        <v>6000</v>
      </c>
      <c r="F69" s="35">
        <v>38</v>
      </c>
      <c r="G69" s="35">
        <v>1</v>
      </c>
      <c r="H69" s="35" t="s">
        <v>197</v>
      </c>
      <c r="I69" s="47" t="s">
        <v>330</v>
      </c>
      <c r="J69" s="73" t="s">
        <v>440</v>
      </c>
      <c r="K69" s="73">
        <v>94.590745801712231</v>
      </c>
      <c r="L69" s="73">
        <v>53.456508761445839</v>
      </c>
      <c r="M69" s="73" t="s">
        <v>440</v>
      </c>
      <c r="N69" s="66">
        <v>1.925368789961597</v>
      </c>
      <c r="O69" s="66">
        <v>4.5235619560570131</v>
      </c>
      <c r="P69" s="66">
        <v>0.42563113065878172</v>
      </c>
      <c r="Q69" s="66">
        <v>0.12806631938822469</v>
      </c>
      <c r="R69" s="66">
        <v>7.7548875021634682</v>
      </c>
      <c r="S69" s="66">
        <v>1.6514271722510038E-2</v>
      </c>
      <c r="T69" s="66">
        <v>23</v>
      </c>
      <c r="U69" s="66">
        <v>216</v>
      </c>
    </row>
    <row r="70" spans="1:21" ht="21">
      <c r="A70" s="35" t="s">
        <v>102</v>
      </c>
      <c r="B70" s="35" t="s">
        <v>82</v>
      </c>
      <c r="C70" s="35" t="s">
        <v>22</v>
      </c>
      <c r="D70" s="35">
        <v>55</v>
      </c>
      <c r="E70" s="35">
        <v>6000</v>
      </c>
      <c r="F70" s="35">
        <v>38</v>
      </c>
      <c r="G70" s="35">
        <v>2</v>
      </c>
      <c r="H70" s="35" t="s">
        <v>194</v>
      </c>
      <c r="I70" s="47" t="s">
        <v>331</v>
      </c>
      <c r="J70" s="73" t="s">
        <v>220</v>
      </c>
      <c r="K70" s="73">
        <v>97.739462392145498</v>
      </c>
      <c r="L70" s="73">
        <v>67.284251281481389</v>
      </c>
      <c r="M70" s="73" t="s">
        <v>220</v>
      </c>
      <c r="N70" s="66">
        <v>1.964168043945971</v>
      </c>
      <c r="O70" s="66">
        <v>4.7004397181410917</v>
      </c>
      <c r="P70" s="66">
        <v>0.41786899986513421</v>
      </c>
      <c r="Q70" s="66">
        <v>0.15698021451082339</v>
      </c>
      <c r="R70" s="66">
        <v>8.0223678130284544</v>
      </c>
      <c r="S70" s="66">
        <v>1.956781565859957E-2</v>
      </c>
      <c r="T70" s="66">
        <v>26</v>
      </c>
      <c r="U70" s="66">
        <v>260</v>
      </c>
    </row>
    <row r="71" spans="1:21" ht="21">
      <c r="A71" s="35" t="s">
        <v>102</v>
      </c>
      <c r="B71" s="35" t="s">
        <v>82</v>
      </c>
      <c r="C71" s="35" t="s">
        <v>14</v>
      </c>
      <c r="D71" s="35">
        <v>55</v>
      </c>
      <c r="E71" s="35">
        <v>6000</v>
      </c>
      <c r="F71" s="35">
        <v>38</v>
      </c>
      <c r="G71" s="35">
        <v>3</v>
      </c>
      <c r="H71" s="35" t="s">
        <v>199</v>
      </c>
      <c r="I71" s="47" t="s">
        <v>332</v>
      </c>
      <c r="J71" s="73" t="s">
        <v>227</v>
      </c>
      <c r="K71" s="73">
        <v>94.022715502326292</v>
      </c>
      <c r="L71" s="73">
        <v>126.1679683550568</v>
      </c>
      <c r="M71" s="73" t="s">
        <v>227</v>
      </c>
      <c r="N71" s="66">
        <v>1.9683981695180599</v>
      </c>
      <c r="O71" s="66">
        <v>4.5849625007211561</v>
      </c>
      <c r="P71" s="66">
        <v>0.42931608910835289</v>
      </c>
      <c r="Q71" s="66">
        <v>0.17390889216999969</v>
      </c>
      <c r="R71" s="66">
        <v>7.8008998999203047</v>
      </c>
      <c r="S71" s="66">
        <v>2.2293439782732811E-2</v>
      </c>
      <c r="T71" s="66">
        <v>24</v>
      </c>
      <c r="U71" s="66">
        <v>223</v>
      </c>
    </row>
    <row r="72" spans="1:21" ht="21">
      <c r="A72" s="35" t="s">
        <v>126</v>
      </c>
      <c r="B72" s="35" t="s">
        <v>65</v>
      </c>
      <c r="C72" s="35" t="s">
        <v>21</v>
      </c>
      <c r="D72" s="35">
        <v>20</v>
      </c>
      <c r="E72" s="35">
        <v>6000</v>
      </c>
      <c r="F72" s="35">
        <v>3</v>
      </c>
      <c r="G72" s="35">
        <v>1</v>
      </c>
      <c r="H72" s="35" t="s">
        <v>197</v>
      </c>
      <c r="I72" s="47" t="s">
        <v>351</v>
      </c>
      <c r="J72" s="73" t="s">
        <v>441</v>
      </c>
      <c r="K72" s="73">
        <v>165.3036062129099</v>
      </c>
      <c r="L72" s="73">
        <v>150.53186903418299</v>
      </c>
      <c r="M72" s="73" t="s">
        <v>441</v>
      </c>
      <c r="N72" s="66">
        <v>2.7942606295384298</v>
      </c>
      <c r="O72" s="66">
        <v>6</v>
      </c>
      <c r="P72" s="66">
        <v>0.46571010492307169</v>
      </c>
      <c r="Q72" s="66">
        <v>0.2239684338811424</v>
      </c>
      <c r="R72" s="66">
        <v>9.3966047811818587</v>
      </c>
      <c r="S72" s="66">
        <v>2.3835038196953168E-2</v>
      </c>
      <c r="T72" s="66">
        <v>64</v>
      </c>
      <c r="U72" s="66">
        <v>674</v>
      </c>
    </row>
    <row r="73" spans="1:21" ht="21">
      <c r="A73" s="35" t="s">
        <v>126</v>
      </c>
      <c r="B73" s="35" t="s">
        <v>65</v>
      </c>
      <c r="C73" s="35" t="s">
        <v>22</v>
      </c>
      <c r="D73" s="35">
        <v>20</v>
      </c>
      <c r="E73" s="35">
        <v>6000</v>
      </c>
      <c r="F73" s="35">
        <v>3</v>
      </c>
      <c r="G73" s="35">
        <v>2</v>
      </c>
      <c r="H73" s="35" t="s">
        <v>194</v>
      </c>
      <c r="I73" s="47" t="s">
        <v>352</v>
      </c>
      <c r="J73" s="73" t="s">
        <v>248</v>
      </c>
      <c r="K73" s="73">
        <v>117.9852230981528</v>
      </c>
      <c r="L73" s="73">
        <v>115.4064765592412</v>
      </c>
      <c r="M73" s="73" t="s">
        <v>248</v>
      </c>
      <c r="N73" s="66">
        <v>2.5765576947130202</v>
      </c>
      <c r="O73" s="66">
        <v>5.7813597135246599</v>
      </c>
      <c r="P73" s="66">
        <v>0.44566638686839249</v>
      </c>
      <c r="Q73" s="66">
        <v>0.17801582683288741</v>
      </c>
      <c r="R73" s="66">
        <v>8.7714894695005992</v>
      </c>
      <c r="S73" s="66">
        <v>2.029482306874645E-2</v>
      </c>
      <c r="T73" s="66">
        <v>55</v>
      </c>
      <c r="U73" s="66">
        <v>437</v>
      </c>
    </row>
    <row r="74" spans="1:21" ht="21">
      <c r="A74" s="35" t="s">
        <v>126</v>
      </c>
      <c r="B74" s="35" t="s">
        <v>65</v>
      </c>
      <c r="C74" s="35" t="s">
        <v>14</v>
      </c>
      <c r="D74" s="35">
        <v>20</v>
      </c>
      <c r="E74" s="35">
        <v>6000</v>
      </c>
      <c r="F74" s="35">
        <v>3</v>
      </c>
      <c r="G74" s="35">
        <v>3</v>
      </c>
      <c r="H74" s="35" t="s">
        <v>199</v>
      </c>
      <c r="I74" s="46" t="s">
        <v>353</v>
      </c>
      <c r="J74" s="73" t="s">
        <v>251</v>
      </c>
      <c r="K74" s="73">
        <v>115.82171685338881</v>
      </c>
      <c r="L74" s="73">
        <v>152.66723213809121</v>
      </c>
      <c r="M74" s="73" t="s">
        <v>251</v>
      </c>
      <c r="N74" s="66">
        <v>2.742012193758379</v>
      </c>
      <c r="O74" s="66">
        <v>5.6438561897747244</v>
      </c>
      <c r="P74" s="66">
        <v>0.48584019534839129</v>
      </c>
      <c r="Q74" s="66">
        <v>0.1842888053631585</v>
      </c>
      <c r="R74" s="66">
        <v>8.6653359171851765</v>
      </c>
      <c r="S74" s="66">
        <v>2.126735848724285E-2</v>
      </c>
      <c r="T74" s="66">
        <v>50</v>
      </c>
      <c r="U74" s="66">
        <v>406</v>
      </c>
    </row>
    <row r="75" spans="1:21" ht="21">
      <c r="A75" s="35" t="s">
        <v>129</v>
      </c>
      <c r="B75" s="35" t="s">
        <v>65</v>
      </c>
      <c r="C75" s="35" t="s">
        <v>14</v>
      </c>
      <c r="D75" s="35">
        <v>22</v>
      </c>
      <c r="E75" s="35">
        <v>10000</v>
      </c>
      <c r="F75" s="35">
        <v>3</v>
      </c>
      <c r="G75" s="35">
        <v>1</v>
      </c>
      <c r="H75" s="35" t="s">
        <v>197</v>
      </c>
      <c r="I75" s="47" t="s">
        <v>354</v>
      </c>
      <c r="J75" s="73" t="s">
        <v>442</v>
      </c>
      <c r="K75" s="73">
        <v>105.29017464572151</v>
      </c>
      <c r="L75" s="73">
        <v>143.06153610595331</v>
      </c>
      <c r="M75" s="73" t="s">
        <v>442</v>
      </c>
      <c r="N75" s="66">
        <v>2.2155626893205942</v>
      </c>
      <c r="O75" s="66">
        <v>4.8073549220576037</v>
      </c>
      <c r="P75" s="66">
        <v>0.46086938144610867</v>
      </c>
      <c r="Q75" s="66">
        <v>0.21054370732370581</v>
      </c>
      <c r="R75" s="66">
        <v>7.8948177633079437</v>
      </c>
      <c r="S75" s="66">
        <v>2.666859624071773E-2</v>
      </c>
      <c r="T75" s="66">
        <v>28</v>
      </c>
      <c r="U75" s="66">
        <v>238</v>
      </c>
    </row>
    <row r="76" spans="1:21" ht="21">
      <c r="A76" s="35" t="s">
        <v>129</v>
      </c>
      <c r="B76" s="35" t="s">
        <v>65</v>
      </c>
      <c r="C76" s="35" t="s">
        <v>21</v>
      </c>
      <c r="D76" s="35">
        <v>22</v>
      </c>
      <c r="E76" s="35">
        <v>10000</v>
      </c>
      <c r="F76" s="35">
        <v>3</v>
      </c>
      <c r="G76" s="35">
        <v>2</v>
      </c>
      <c r="H76" s="35" t="s">
        <v>194</v>
      </c>
      <c r="I76" s="47" t="s">
        <v>355</v>
      </c>
      <c r="J76" s="73" t="s">
        <v>241</v>
      </c>
      <c r="K76" s="73">
        <v>205.62631136448749</v>
      </c>
      <c r="L76" s="73">
        <v>140.73309319907071</v>
      </c>
      <c r="M76" s="73" t="s">
        <v>241</v>
      </c>
      <c r="N76" s="66">
        <v>4.0735807917794347</v>
      </c>
      <c r="O76" s="66">
        <v>6.1292830169449664</v>
      </c>
      <c r="P76" s="66">
        <v>0.66460967465813636</v>
      </c>
      <c r="Q76" s="66">
        <v>0.1973609853414213</v>
      </c>
      <c r="R76" s="66">
        <v>9.4178525148858974</v>
      </c>
      <c r="S76" s="66">
        <v>2.095604969704842E-2</v>
      </c>
      <c r="T76" s="66">
        <v>70</v>
      </c>
      <c r="U76" s="66">
        <v>684</v>
      </c>
    </row>
    <row r="77" spans="1:21" ht="21">
      <c r="A77" s="35" t="s">
        <v>129</v>
      </c>
      <c r="B77" s="35" t="s">
        <v>65</v>
      </c>
      <c r="C77" s="35" t="s">
        <v>22</v>
      </c>
      <c r="D77" s="35">
        <v>22</v>
      </c>
      <c r="E77" s="35">
        <v>10000</v>
      </c>
      <c r="F77" s="35">
        <v>3</v>
      </c>
      <c r="G77" s="35">
        <v>3</v>
      </c>
      <c r="H77" s="35" t="s">
        <v>199</v>
      </c>
      <c r="I77" s="47" t="s">
        <v>356</v>
      </c>
      <c r="J77" s="73" t="s">
        <v>242</v>
      </c>
      <c r="K77" s="73">
        <v>184.05068488686521</v>
      </c>
      <c r="L77" s="73">
        <v>143.5284654563892</v>
      </c>
      <c r="M77" s="73" t="s">
        <v>242</v>
      </c>
      <c r="N77" s="66">
        <v>3.6514753638448378</v>
      </c>
      <c r="O77" s="66">
        <v>6.0223678130284544</v>
      </c>
      <c r="P77" s="66">
        <v>0.60631888938192058</v>
      </c>
      <c r="Q77" s="66">
        <v>0.2017172508447751</v>
      </c>
      <c r="R77" s="66">
        <v>9.2021238238304601</v>
      </c>
      <c r="S77" s="66">
        <v>2.192072772617926E-2</v>
      </c>
      <c r="T77" s="66">
        <v>65</v>
      </c>
      <c r="U77" s="66">
        <v>589</v>
      </c>
    </row>
    <row r="78" spans="1:21" ht="21">
      <c r="A78" s="35" t="s">
        <v>123</v>
      </c>
      <c r="B78" s="35" t="s">
        <v>65</v>
      </c>
      <c r="C78" s="35" t="s">
        <v>22</v>
      </c>
      <c r="D78" s="35">
        <v>25</v>
      </c>
      <c r="E78" s="35">
        <v>700</v>
      </c>
      <c r="F78" s="35">
        <v>3</v>
      </c>
      <c r="G78" s="35">
        <v>1</v>
      </c>
      <c r="H78" s="35" t="s">
        <v>197</v>
      </c>
      <c r="I78" s="47" t="s">
        <v>357</v>
      </c>
      <c r="J78" s="73" t="s">
        <v>443</v>
      </c>
      <c r="K78" s="73">
        <v>94.080847069007689</v>
      </c>
      <c r="L78" s="73">
        <v>75.996175908035383</v>
      </c>
      <c r="M78" s="73" t="s">
        <v>443</v>
      </c>
      <c r="N78" s="66">
        <v>2.3182388950785988</v>
      </c>
      <c r="O78" s="66">
        <v>4.8073549220576037</v>
      </c>
      <c r="P78" s="66">
        <v>0.48222753107781069</v>
      </c>
      <c r="Q78" s="66">
        <v>0.138085955528881</v>
      </c>
      <c r="R78" s="66">
        <v>7.9943534368588578</v>
      </c>
      <c r="S78" s="66">
        <v>1.727293603160204E-2</v>
      </c>
      <c r="T78" s="66">
        <v>28</v>
      </c>
      <c r="U78" s="66">
        <v>255</v>
      </c>
    </row>
    <row r="79" spans="1:21" ht="21">
      <c r="A79" s="35" t="s">
        <v>123</v>
      </c>
      <c r="B79" s="35" t="s">
        <v>65</v>
      </c>
      <c r="C79" s="35" t="s">
        <v>14</v>
      </c>
      <c r="D79" s="35">
        <v>25</v>
      </c>
      <c r="E79" s="35">
        <v>700</v>
      </c>
      <c r="F79" s="35">
        <v>3</v>
      </c>
      <c r="G79" s="35">
        <v>2</v>
      </c>
      <c r="H79" s="35" t="s">
        <v>194</v>
      </c>
      <c r="I79" s="46" t="s">
        <v>358</v>
      </c>
      <c r="J79" s="73" t="s">
        <v>232</v>
      </c>
      <c r="K79" s="73">
        <v>85.548639203276394</v>
      </c>
      <c r="L79" s="73">
        <v>98.928322659971897</v>
      </c>
      <c r="M79" s="73" t="s">
        <v>232</v>
      </c>
      <c r="N79" s="66">
        <v>2.0570105131017069</v>
      </c>
      <c r="O79" s="66">
        <v>4.3923174227787607</v>
      </c>
      <c r="P79" s="66">
        <v>0.46832009509011252</v>
      </c>
      <c r="Q79" s="66">
        <v>0.14076375206466271</v>
      </c>
      <c r="R79" s="66">
        <v>7.4429434958487279</v>
      </c>
      <c r="S79" s="66">
        <v>1.8912376822848791E-2</v>
      </c>
      <c r="T79" s="66">
        <v>21</v>
      </c>
      <c r="U79" s="66">
        <v>174</v>
      </c>
    </row>
    <row r="80" spans="1:21" ht="21">
      <c r="A80" s="35" t="s">
        <v>132</v>
      </c>
      <c r="B80" s="35" t="s">
        <v>65</v>
      </c>
      <c r="C80" s="35" t="s">
        <v>14</v>
      </c>
      <c r="D80" s="35">
        <v>64</v>
      </c>
      <c r="E80" s="35">
        <v>30000</v>
      </c>
      <c r="F80" s="35">
        <v>47</v>
      </c>
      <c r="G80" s="35">
        <v>1</v>
      </c>
      <c r="H80" s="35" t="s">
        <v>197</v>
      </c>
      <c r="I80" s="47" t="s">
        <v>360</v>
      </c>
      <c r="J80" s="73" t="s">
        <v>444</v>
      </c>
      <c r="K80" s="73">
        <v>99.591325299597301</v>
      </c>
      <c r="L80" s="73">
        <v>107.5296770602844</v>
      </c>
      <c r="M80" s="73" t="s">
        <v>444</v>
      </c>
      <c r="N80" s="66">
        <v>1.6336133580986409</v>
      </c>
      <c r="O80" s="66">
        <v>4.7548875021634682</v>
      </c>
      <c r="P80" s="66">
        <v>0.34356509115207229</v>
      </c>
      <c r="Q80" s="66">
        <v>0.2625567579207353</v>
      </c>
      <c r="R80" s="66">
        <v>8</v>
      </c>
      <c r="S80" s="66">
        <v>3.2819594740091912E-2</v>
      </c>
      <c r="T80" s="66">
        <v>27</v>
      </c>
      <c r="U80" s="66">
        <v>256</v>
      </c>
    </row>
    <row r="81" spans="1:21" ht="21">
      <c r="A81" s="35" t="s">
        <v>132</v>
      </c>
      <c r="B81" s="35" t="s">
        <v>65</v>
      </c>
      <c r="C81" s="35" t="s">
        <v>22</v>
      </c>
      <c r="D81" s="35">
        <v>64</v>
      </c>
      <c r="E81" s="35">
        <v>30000</v>
      </c>
      <c r="F81" s="35">
        <v>47</v>
      </c>
      <c r="G81" s="35">
        <v>2</v>
      </c>
      <c r="H81" s="35" t="s">
        <v>194</v>
      </c>
      <c r="I81" s="46" t="s">
        <v>361</v>
      </c>
      <c r="J81" s="73" t="s">
        <v>254</v>
      </c>
      <c r="K81" s="73">
        <v>108.97284678750469</v>
      </c>
      <c r="L81" s="73">
        <v>73.000560248238415</v>
      </c>
      <c r="M81" s="73" t="s">
        <v>254</v>
      </c>
      <c r="N81" s="66">
        <v>1.926614669565907</v>
      </c>
      <c r="O81" s="66">
        <v>4.9068905956085187</v>
      </c>
      <c r="P81" s="66">
        <v>0.39263452730944393</v>
      </c>
      <c r="Q81" s="66">
        <v>0.28428448220379759</v>
      </c>
      <c r="R81" s="66">
        <v>8.2946207488916261</v>
      </c>
      <c r="S81" s="66">
        <v>3.4273355082784861E-2</v>
      </c>
      <c r="T81" s="66">
        <v>30</v>
      </c>
      <c r="U81" s="66">
        <v>314</v>
      </c>
    </row>
    <row r="82" spans="1:21" ht="21">
      <c r="A82" s="35" t="s">
        <v>132</v>
      </c>
      <c r="B82" s="35" t="s">
        <v>65</v>
      </c>
      <c r="C82" s="35" t="s">
        <v>21</v>
      </c>
      <c r="D82" s="35">
        <v>64</v>
      </c>
      <c r="E82" s="35">
        <v>30000</v>
      </c>
      <c r="F82" s="35">
        <v>47</v>
      </c>
      <c r="G82" s="35">
        <v>3</v>
      </c>
      <c r="H82" s="35" t="s">
        <v>199</v>
      </c>
      <c r="I82" s="46" t="s">
        <v>362</v>
      </c>
      <c r="J82" s="73" t="s">
        <v>238</v>
      </c>
      <c r="K82" s="73">
        <v>109.37671816066209</v>
      </c>
      <c r="L82" s="73">
        <v>77.860652943326016</v>
      </c>
      <c r="M82" s="73" t="s">
        <v>238</v>
      </c>
      <c r="N82" s="66">
        <v>2.4379263981200858</v>
      </c>
      <c r="O82" s="66">
        <v>5</v>
      </c>
      <c r="P82" s="66">
        <v>0.48758527962401721</v>
      </c>
      <c r="Q82" s="66">
        <v>0.27438371533786637</v>
      </c>
      <c r="R82" s="66">
        <v>8.539158811108031</v>
      </c>
      <c r="S82" s="66">
        <v>3.2132405709674669E-2</v>
      </c>
      <c r="T82" s="66">
        <v>32</v>
      </c>
      <c r="U82" s="66">
        <v>372</v>
      </c>
    </row>
    <row r="83" spans="1:21" ht="21">
      <c r="A83" s="35" t="s">
        <v>131</v>
      </c>
      <c r="B83" s="35" t="s">
        <v>65</v>
      </c>
      <c r="C83" s="35" t="s">
        <v>22</v>
      </c>
      <c r="D83" s="57">
        <v>30</v>
      </c>
      <c r="E83" s="35">
        <v>10000</v>
      </c>
      <c r="F83" s="35">
        <v>12</v>
      </c>
      <c r="G83" s="35">
        <v>1</v>
      </c>
      <c r="H83" s="35" t="s">
        <v>197</v>
      </c>
      <c r="I83" s="47" t="s">
        <v>363</v>
      </c>
      <c r="J83" s="73" t="s">
        <v>445</v>
      </c>
      <c r="K83" s="73">
        <v>152.87783350251209</v>
      </c>
      <c r="L83" s="73">
        <v>146.92552462622771</v>
      </c>
      <c r="M83" s="73" t="s">
        <v>445</v>
      </c>
      <c r="N83" s="66">
        <v>2.970241829815933</v>
      </c>
      <c r="O83" s="66">
        <v>5.5545888516776376</v>
      </c>
      <c r="P83" s="66">
        <v>0.53473657711296463</v>
      </c>
      <c r="Q83" s="66">
        <v>0.27228184411389822</v>
      </c>
      <c r="R83" s="66">
        <v>8.9886846867721655</v>
      </c>
      <c r="S83" s="66">
        <v>3.0291622590187271E-2</v>
      </c>
      <c r="T83" s="66">
        <v>47</v>
      </c>
      <c r="U83" s="66">
        <v>508</v>
      </c>
    </row>
    <row r="84" spans="1:21" ht="21">
      <c r="A84" s="35" t="s">
        <v>131</v>
      </c>
      <c r="B84" s="35" t="s">
        <v>65</v>
      </c>
      <c r="C84" s="35" t="s">
        <v>21</v>
      </c>
      <c r="D84" s="57">
        <v>30</v>
      </c>
      <c r="E84" s="35">
        <v>10000</v>
      </c>
      <c r="F84" s="35">
        <v>12</v>
      </c>
      <c r="G84" s="35">
        <v>2</v>
      </c>
      <c r="H84" s="35" t="s">
        <v>194</v>
      </c>
      <c r="I84" s="47" t="s">
        <v>364</v>
      </c>
      <c r="J84" s="73" t="s">
        <v>207</v>
      </c>
      <c r="K84" s="73">
        <v>127.25103334131509</v>
      </c>
      <c r="L84" s="73">
        <v>128.42685071445089</v>
      </c>
      <c r="M84" s="73" t="s">
        <v>207</v>
      </c>
      <c r="N84" s="66">
        <v>2.9580945899686721</v>
      </c>
      <c r="O84" s="66">
        <v>5.4262647547020979</v>
      </c>
      <c r="P84" s="66">
        <v>0.54514380032882692</v>
      </c>
      <c r="Q84" s="66">
        <v>0.24852387798030959</v>
      </c>
      <c r="R84" s="66">
        <v>8.8137811912170374</v>
      </c>
      <c r="S84" s="66">
        <v>2.8197191714716539E-2</v>
      </c>
      <c r="T84" s="66">
        <v>43</v>
      </c>
      <c r="U84" s="66">
        <v>450</v>
      </c>
    </row>
    <row r="85" spans="1:21" ht="21">
      <c r="A85" s="35" t="s">
        <v>131</v>
      </c>
      <c r="B85" s="35" t="s">
        <v>65</v>
      </c>
      <c r="C85" s="35" t="s">
        <v>14</v>
      </c>
      <c r="D85" s="57">
        <v>30</v>
      </c>
      <c r="E85" s="35">
        <v>10000</v>
      </c>
      <c r="F85" s="35">
        <v>12</v>
      </c>
      <c r="G85" s="35">
        <v>3</v>
      </c>
      <c r="H85" s="35" t="s">
        <v>199</v>
      </c>
      <c r="I85" s="47" t="s">
        <v>365</v>
      </c>
      <c r="J85" s="73" t="s">
        <v>253</v>
      </c>
      <c r="K85" s="73">
        <v>136.3079167797712</v>
      </c>
      <c r="L85" s="73">
        <v>145.86147836122609</v>
      </c>
      <c r="M85" s="73" t="s">
        <v>253</v>
      </c>
      <c r="N85" s="66">
        <v>2.8054277113523591</v>
      </c>
      <c r="O85" s="66">
        <v>4.9068905956085187</v>
      </c>
      <c r="P85" s="66">
        <v>0.57173227254406489</v>
      </c>
      <c r="Q85" s="66">
        <v>0.32509341470227948</v>
      </c>
      <c r="R85" s="66">
        <v>8.4958550268871704</v>
      </c>
      <c r="S85" s="66">
        <v>3.8264943748856757E-2</v>
      </c>
      <c r="T85" s="66">
        <v>30</v>
      </c>
      <c r="U85" s="66">
        <v>361</v>
      </c>
    </row>
    <row r="86" spans="1:21" ht="21">
      <c r="A86" s="35" t="s">
        <v>114</v>
      </c>
      <c r="B86" s="35" t="s">
        <v>65</v>
      </c>
      <c r="C86" s="35" t="s">
        <v>21</v>
      </c>
      <c r="D86" s="57">
        <v>60</v>
      </c>
      <c r="E86" s="35">
        <v>30000</v>
      </c>
      <c r="F86" s="35">
        <v>42</v>
      </c>
      <c r="G86" s="35">
        <v>1</v>
      </c>
      <c r="H86" s="35" t="s">
        <v>197</v>
      </c>
      <c r="I86" s="47" t="s">
        <v>366</v>
      </c>
      <c r="J86" s="73" t="s">
        <v>446</v>
      </c>
      <c r="K86" s="73">
        <v>85.704476351972204</v>
      </c>
      <c r="L86" s="73">
        <v>106.4618953886238</v>
      </c>
      <c r="M86" s="73" t="s">
        <v>446</v>
      </c>
      <c r="N86" s="66">
        <v>2.416669019905203</v>
      </c>
      <c r="O86" s="66">
        <v>4.5849625007211561</v>
      </c>
      <c r="P86" s="66">
        <v>0.52708588554979274</v>
      </c>
      <c r="Q86" s="66">
        <v>0.1157211738526075</v>
      </c>
      <c r="R86" s="66">
        <v>7.651051691178929</v>
      </c>
      <c r="S86" s="66">
        <v>1.5124871524005649E-2</v>
      </c>
      <c r="T86" s="66">
        <v>24</v>
      </c>
      <c r="U86" s="66">
        <v>201</v>
      </c>
    </row>
    <row r="87" spans="1:21" ht="21">
      <c r="A87" s="35" t="s">
        <v>114</v>
      </c>
      <c r="B87" s="35" t="s">
        <v>65</v>
      </c>
      <c r="C87" s="35" t="s">
        <v>14</v>
      </c>
      <c r="D87" s="57">
        <v>60</v>
      </c>
      <c r="E87" s="35">
        <v>30000</v>
      </c>
      <c r="F87" s="35">
        <v>42</v>
      </c>
      <c r="G87" s="35">
        <v>2</v>
      </c>
      <c r="H87" s="35" t="s">
        <v>194</v>
      </c>
      <c r="I87" s="47" t="s">
        <v>367</v>
      </c>
      <c r="J87" s="73" t="s">
        <v>259</v>
      </c>
      <c r="K87" s="73">
        <v>89.080505971342632</v>
      </c>
      <c r="L87" s="73">
        <v>142.53751356066249</v>
      </c>
      <c r="M87" s="73" t="s">
        <v>259</v>
      </c>
      <c r="N87" s="66">
        <v>1.9901798284386929</v>
      </c>
      <c r="O87" s="66">
        <v>4.1699250014423122</v>
      </c>
      <c r="P87" s="66">
        <v>0.47726993357202357</v>
      </c>
      <c r="Q87" s="66">
        <v>0.22758164803539579</v>
      </c>
      <c r="R87" s="66">
        <v>7.6582114827517946</v>
      </c>
      <c r="S87" s="66">
        <v>2.9717336554098368E-2</v>
      </c>
      <c r="T87" s="66">
        <v>18</v>
      </c>
      <c r="U87" s="66">
        <v>202</v>
      </c>
    </row>
    <row r="88" spans="1:21" ht="21">
      <c r="A88" s="35" t="s">
        <v>114</v>
      </c>
      <c r="B88" s="35" t="s">
        <v>65</v>
      </c>
      <c r="C88" s="35" t="s">
        <v>22</v>
      </c>
      <c r="D88" s="57">
        <v>60</v>
      </c>
      <c r="E88" s="35">
        <v>30000</v>
      </c>
      <c r="F88" s="35">
        <v>42</v>
      </c>
      <c r="G88" s="35">
        <v>3</v>
      </c>
      <c r="H88" s="35" t="s">
        <v>199</v>
      </c>
      <c r="I88" s="47" t="s">
        <v>368</v>
      </c>
      <c r="J88" s="73" t="s">
        <v>258</v>
      </c>
      <c r="K88" s="73">
        <v>92.706675596790816</v>
      </c>
      <c r="L88" s="73">
        <v>94.666647748246547</v>
      </c>
      <c r="M88" s="73" t="s">
        <v>258</v>
      </c>
      <c r="N88" s="66">
        <v>2.4416618954224751</v>
      </c>
      <c r="O88" s="66">
        <v>4.3219280948873626</v>
      </c>
      <c r="P88" s="66">
        <v>0.56494736650312294</v>
      </c>
      <c r="Q88" s="66">
        <v>0.22577549172794731</v>
      </c>
      <c r="R88" s="66">
        <v>8.1032878084120217</v>
      </c>
      <c r="S88" s="66">
        <v>2.786220816365054E-2</v>
      </c>
      <c r="T88" s="66">
        <v>20</v>
      </c>
      <c r="U88" s="66">
        <v>275</v>
      </c>
    </row>
    <row r="89" spans="1:21" ht="21">
      <c r="A89" s="35" t="s">
        <v>136</v>
      </c>
      <c r="B89" s="35" t="s">
        <v>65</v>
      </c>
      <c r="C89" s="35" t="s">
        <v>21</v>
      </c>
      <c r="D89" s="57">
        <v>26</v>
      </c>
      <c r="E89" s="35">
        <v>14000</v>
      </c>
      <c r="F89" s="35">
        <v>3.4169999999999998</v>
      </c>
      <c r="G89" s="35">
        <v>1</v>
      </c>
      <c r="H89" s="35" t="s">
        <v>197</v>
      </c>
      <c r="I89" s="47" t="s">
        <v>369</v>
      </c>
      <c r="J89" s="73" t="s">
        <v>447</v>
      </c>
      <c r="K89" s="73">
        <v>150.8726736893523</v>
      </c>
      <c r="L89" s="73">
        <v>122.5179826742677</v>
      </c>
      <c r="M89" s="73" t="s">
        <v>447</v>
      </c>
      <c r="N89" s="66">
        <v>3.138448276066701</v>
      </c>
      <c r="O89" s="66">
        <v>5.8826430493618416</v>
      </c>
      <c r="P89" s="66">
        <v>0.53350989508145741</v>
      </c>
      <c r="Q89" s="66">
        <v>0.27484431672955639</v>
      </c>
      <c r="R89" s="66">
        <v>9.2143191208007664</v>
      </c>
      <c r="S89" s="66">
        <v>2.982795723984771E-2</v>
      </c>
      <c r="T89" s="66">
        <v>59</v>
      </c>
      <c r="U89" s="66">
        <v>594</v>
      </c>
    </row>
    <row r="90" spans="1:21" ht="21">
      <c r="A90" s="35" t="s">
        <v>136</v>
      </c>
      <c r="B90" s="35" t="s">
        <v>65</v>
      </c>
      <c r="C90" s="35" t="s">
        <v>14</v>
      </c>
      <c r="D90" s="57">
        <v>26</v>
      </c>
      <c r="E90" s="35">
        <v>14000</v>
      </c>
      <c r="F90" s="35">
        <v>3.4169999999999998</v>
      </c>
      <c r="G90" s="35">
        <v>2</v>
      </c>
      <c r="H90" s="35" t="s">
        <v>199</v>
      </c>
      <c r="I90" s="47" t="s">
        <v>370</v>
      </c>
      <c r="J90" s="73" t="s">
        <v>230</v>
      </c>
      <c r="K90" s="73">
        <v>108.6520090582255</v>
      </c>
      <c r="L90" s="73">
        <v>144.4812733887714</v>
      </c>
      <c r="M90" s="73" t="s">
        <v>230</v>
      </c>
      <c r="N90" s="66">
        <v>2.9344350585214758</v>
      </c>
      <c r="O90" s="66">
        <v>5.3219280948873626</v>
      </c>
      <c r="P90" s="66">
        <v>0.55138570198656223</v>
      </c>
      <c r="Q90" s="66">
        <v>0.25891669441788551</v>
      </c>
      <c r="R90" s="66">
        <v>8.5736471874933216</v>
      </c>
      <c r="S90" s="66">
        <v>3.0199130983086901E-2</v>
      </c>
      <c r="T90" s="66">
        <v>40</v>
      </c>
      <c r="U90" s="66">
        <v>381</v>
      </c>
    </row>
    <row r="91" spans="1:21" ht="21">
      <c r="A91" s="35" t="s">
        <v>136</v>
      </c>
      <c r="B91" s="35" t="s">
        <v>65</v>
      </c>
      <c r="C91" s="35" t="s">
        <v>22</v>
      </c>
      <c r="D91" s="57">
        <v>26</v>
      </c>
      <c r="E91" s="35">
        <v>14000</v>
      </c>
      <c r="F91" s="35">
        <v>3.4169999999999998</v>
      </c>
      <c r="G91" s="35">
        <v>3</v>
      </c>
      <c r="H91" s="35" t="s">
        <v>194</v>
      </c>
      <c r="I91" s="47" t="s">
        <v>371</v>
      </c>
      <c r="J91" s="73" t="s">
        <v>268</v>
      </c>
      <c r="K91" s="73">
        <v>146.69752565977419</v>
      </c>
      <c r="L91" s="73">
        <v>128.1308805761154</v>
      </c>
      <c r="M91" s="73" t="s">
        <v>268</v>
      </c>
      <c r="N91" s="66">
        <v>3.393818903599398</v>
      </c>
      <c r="O91" s="66">
        <v>5.7813597135246599</v>
      </c>
      <c r="P91" s="66">
        <v>0.58702780518223885</v>
      </c>
      <c r="Q91" s="66">
        <v>0.3053278207138575</v>
      </c>
      <c r="R91" s="66">
        <v>9.3128829552843548</v>
      </c>
      <c r="S91" s="66">
        <v>3.2785531846570362E-2</v>
      </c>
      <c r="T91" s="66">
        <v>55</v>
      </c>
      <c r="U91" s="66">
        <v>636</v>
      </c>
    </row>
    <row r="92" spans="1:21" ht="21">
      <c r="A92" s="35" t="s">
        <v>138</v>
      </c>
      <c r="B92" s="35" t="s">
        <v>65</v>
      </c>
      <c r="C92" s="35" t="s">
        <v>14</v>
      </c>
      <c r="D92" s="57">
        <v>27</v>
      </c>
      <c r="E92" s="35">
        <v>5000</v>
      </c>
      <c r="F92" s="35">
        <v>2</v>
      </c>
      <c r="G92" s="35">
        <v>1</v>
      </c>
      <c r="H92" s="35" t="s">
        <v>194</v>
      </c>
      <c r="I92" s="46" t="s">
        <v>372</v>
      </c>
      <c r="J92" s="73" t="s">
        <v>448</v>
      </c>
      <c r="K92" s="73">
        <v>86.760361075475913</v>
      </c>
      <c r="L92" s="73">
        <v>120.0537734704685</v>
      </c>
      <c r="M92" s="73" t="s">
        <v>448</v>
      </c>
      <c r="N92" s="66">
        <v>2.4417394307088842</v>
      </c>
      <c r="O92" s="66">
        <v>4.5849625007211561</v>
      </c>
      <c r="P92" s="66">
        <v>0.53255384974791597</v>
      </c>
      <c r="Q92" s="66">
        <v>0.17566212775361839</v>
      </c>
      <c r="R92" s="66">
        <v>7.5235619560570131</v>
      </c>
      <c r="S92" s="66">
        <v>2.3348266257340732E-2</v>
      </c>
      <c r="T92" s="66">
        <v>24</v>
      </c>
      <c r="U92" s="66">
        <v>184</v>
      </c>
    </row>
    <row r="93" spans="1:21" ht="21">
      <c r="A93" s="35" t="s">
        <v>138</v>
      </c>
      <c r="B93" s="35" t="s">
        <v>65</v>
      </c>
      <c r="C93" s="35" t="s">
        <v>21</v>
      </c>
      <c r="D93" s="57">
        <v>27</v>
      </c>
      <c r="E93" s="35">
        <v>5000</v>
      </c>
      <c r="F93" s="35">
        <v>2</v>
      </c>
      <c r="G93" s="35">
        <v>2</v>
      </c>
      <c r="H93" s="35" t="s">
        <v>197</v>
      </c>
      <c r="I93" s="46" t="s">
        <v>373</v>
      </c>
      <c r="J93" s="73" t="s">
        <v>449</v>
      </c>
      <c r="K93" s="73">
        <v>103.5877792264334</v>
      </c>
      <c r="L93" s="73">
        <v>88.825344144570707</v>
      </c>
      <c r="M93" s="73" t="s">
        <v>449</v>
      </c>
      <c r="N93" s="66">
        <v>2.2063370522960701</v>
      </c>
      <c r="O93" s="66">
        <v>5</v>
      </c>
      <c r="P93" s="66">
        <v>0.44126741045921403</v>
      </c>
      <c r="Q93" s="66">
        <v>0.15348408911896011</v>
      </c>
      <c r="R93" s="66">
        <v>8.2479275134435852</v>
      </c>
      <c r="S93" s="66">
        <v>1.860880674191074E-2</v>
      </c>
      <c r="T93" s="66">
        <v>32</v>
      </c>
      <c r="U93" s="66">
        <v>304</v>
      </c>
    </row>
    <row r="94" spans="1:21" ht="21">
      <c r="A94" s="35" t="s">
        <v>138</v>
      </c>
      <c r="B94" s="35" t="s">
        <v>65</v>
      </c>
      <c r="C94" s="35" t="s">
        <v>22</v>
      </c>
      <c r="D94" s="57">
        <v>27</v>
      </c>
      <c r="E94" s="35">
        <v>5000</v>
      </c>
      <c r="F94" s="35">
        <v>2</v>
      </c>
      <c r="G94" s="35">
        <v>3</v>
      </c>
      <c r="H94" s="35" t="s">
        <v>199</v>
      </c>
      <c r="I94" s="46" t="s">
        <v>374</v>
      </c>
      <c r="J94" s="73" t="s">
        <v>223</v>
      </c>
      <c r="K94" s="73">
        <v>140.35518455965351</v>
      </c>
      <c r="L94" s="73">
        <v>134.19908747926451</v>
      </c>
      <c r="M94" s="73" t="s">
        <v>223</v>
      </c>
      <c r="N94" s="66">
        <v>2.4122431795019659</v>
      </c>
      <c r="O94" s="66">
        <v>5.5235619560570131</v>
      </c>
      <c r="P94" s="66">
        <v>0.43671876928197673</v>
      </c>
      <c r="Q94" s="66">
        <v>0.16334407467953591</v>
      </c>
      <c r="R94" s="66">
        <v>8.581200581924957</v>
      </c>
      <c r="S94" s="66">
        <v>1.9035107397861819E-2</v>
      </c>
      <c r="T94" s="66">
        <v>46</v>
      </c>
      <c r="U94" s="66">
        <v>383</v>
      </c>
    </row>
    <row r="95" spans="1:21" ht="21">
      <c r="A95" s="35" t="s">
        <v>111</v>
      </c>
      <c r="B95" s="35" t="s">
        <v>65</v>
      </c>
      <c r="C95" s="35" t="s">
        <v>14</v>
      </c>
      <c r="D95" s="57">
        <v>53</v>
      </c>
      <c r="E95" s="35">
        <v>2000</v>
      </c>
      <c r="F95" s="35">
        <v>36</v>
      </c>
      <c r="G95" s="35">
        <v>1</v>
      </c>
      <c r="H95" s="35" t="s">
        <v>197</v>
      </c>
      <c r="I95" s="47" t="s">
        <v>375</v>
      </c>
      <c r="J95" s="73" t="s">
        <v>450</v>
      </c>
      <c r="K95" s="73">
        <v>107.10172665841451</v>
      </c>
      <c r="L95" s="73">
        <v>145.1092144704694</v>
      </c>
      <c r="M95" s="73" t="s">
        <v>450</v>
      </c>
      <c r="N95" s="66">
        <v>2.3965546707969452</v>
      </c>
      <c r="O95" s="66">
        <v>5.0874628412503391</v>
      </c>
      <c r="P95" s="66">
        <v>0.47107069782704242</v>
      </c>
      <c r="Q95" s="66">
        <v>0.25005873920722271</v>
      </c>
      <c r="R95" s="66">
        <v>8.2336196767597016</v>
      </c>
      <c r="S95" s="66">
        <v>3.03704505459538E-2</v>
      </c>
      <c r="T95" s="66">
        <v>34</v>
      </c>
      <c r="U95" s="66">
        <v>301</v>
      </c>
    </row>
    <row r="96" spans="1:21" ht="21">
      <c r="A96" s="35" t="s">
        <v>111</v>
      </c>
      <c r="B96" s="35" t="s">
        <v>65</v>
      </c>
      <c r="C96" s="35" t="s">
        <v>22</v>
      </c>
      <c r="D96" s="57">
        <v>53</v>
      </c>
      <c r="E96" s="35">
        <v>2000</v>
      </c>
      <c r="F96" s="35">
        <v>36</v>
      </c>
      <c r="G96" s="35">
        <v>2</v>
      </c>
      <c r="H96" s="35" t="s">
        <v>194</v>
      </c>
      <c r="I96" s="47" t="s">
        <v>376</v>
      </c>
      <c r="J96" s="73" t="s">
        <v>273</v>
      </c>
      <c r="K96" s="73">
        <v>132.184852941066</v>
      </c>
      <c r="L96" s="73">
        <v>90.272183385492866</v>
      </c>
      <c r="M96" s="73" t="s">
        <v>273</v>
      </c>
      <c r="N96" s="66">
        <v>2.6557271564193869</v>
      </c>
      <c r="O96" s="66">
        <v>5.2854022188622487</v>
      </c>
      <c r="P96" s="66">
        <v>0.50246453277326286</v>
      </c>
      <c r="Q96" s="66">
        <v>0.21471024050128501</v>
      </c>
      <c r="R96" s="66">
        <v>8.2526654324502484</v>
      </c>
      <c r="S96" s="66">
        <v>2.6017078028757148E-2</v>
      </c>
      <c r="T96" s="66">
        <v>39</v>
      </c>
      <c r="U96" s="66">
        <v>305</v>
      </c>
    </row>
    <row r="97" spans="1:21" ht="21">
      <c r="A97" s="35" t="s">
        <v>111</v>
      </c>
      <c r="B97" s="35" t="s">
        <v>65</v>
      </c>
      <c r="C97" s="35" t="s">
        <v>21</v>
      </c>
      <c r="D97" s="57">
        <v>53</v>
      </c>
      <c r="E97" s="35">
        <v>2000</v>
      </c>
      <c r="F97" s="35">
        <v>36</v>
      </c>
      <c r="G97" s="35">
        <v>3</v>
      </c>
      <c r="H97" s="35" t="s">
        <v>199</v>
      </c>
      <c r="I97" s="47" t="s">
        <v>377</v>
      </c>
      <c r="J97" s="73" t="s">
        <v>218</v>
      </c>
      <c r="K97" s="73">
        <v>116.1707986305375</v>
      </c>
      <c r="L97" s="73">
        <v>63.607258167431162</v>
      </c>
      <c r="M97" s="73" t="s">
        <v>218</v>
      </c>
      <c r="N97" s="66">
        <v>2.270798157875717</v>
      </c>
      <c r="O97" s="66">
        <v>4.7548875021634682</v>
      </c>
      <c r="P97" s="66">
        <v>0.47757137405301509</v>
      </c>
      <c r="Q97" s="66">
        <v>0.1877404872160599</v>
      </c>
      <c r="R97" s="66">
        <v>7.826548487290915</v>
      </c>
      <c r="S97" s="66">
        <v>2.398764762282134E-2</v>
      </c>
      <c r="T97" s="66">
        <v>27</v>
      </c>
      <c r="U97" s="66">
        <v>227</v>
      </c>
    </row>
    <row r="98" spans="1:21" ht="21">
      <c r="A98" s="35" t="s">
        <v>134</v>
      </c>
      <c r="B98" s="35" t="s">
        <v>65</v>
      </c>
      <c r="C98" s="35" t="s">
        <v>22</v>
      </c>
      <c r="D98" s="57">
        <v>27</v>
      </c>
      <c r="E98" s="35">
        <v>10000</v>
      </c>
      <c r="F98" s="35">
        <v>10</v>
      </c>
      <c r="G98" s="35">
        <v>1</v>
      </c>
      <c r="H98" s="35" t="s">
        <v>197</v>
      </c>
      <c r="I98" s="47" t="s">
        <v>378</v>
      </c>
      <c r="J98" s="73" t="s">
        <v>451</v>
      </c>
      <c r="K98" s="73">
        <v>92.719820455632544</v>
      </c>
      <c r="L98" s="73">
        <v>69.138750939638086</v>
      </c>
      <c r="M98" s="73" t="s">
        <v>451</v>
      </c>
      <c r="N98" s="66">
        <v>1.690706022069725</v>
      </c>
      <c r="O98" s="66">
        <v>4.7548875021634682</v>
      </c>
      <c r="P98" s="66">
        <v>0.35557224462207693</v>
      </c>
      <c r="Q98" s="66">
        <v>0.1136240000779736</v>
      </c>
      <c r="R98" s="66">
        <v>7.7747870596011737</v>
      </c>
      <c r="S98" s="66">
        <v>1.4614419559910391E-2</v>
      </c>
      <c r="T98" s="66">
        <v>27</v>
      </c>
      <c r="U98" s="66">
        <v>219</v>
      </c>
    </row>
    <row r="99" spans="1:21" ht="21">
      <c r="A99" s="35" t="s">
        <v>134</v>
      </c>
      <c r="B99" s="35" t="s">
        <v>65</v>
      </c>
      <c r="C99" s="35" t="s">
        <v>21</v>
      </c>
      <c r="D99" s="57">
        <v>27</v>
      </c>
      <c r="E99" s="35">
        <v>10000</v>
      </c>
      <c r="F99" s="35">
        <v>10</v>
      </c>
      <c r="G99" s="35">
        <v>2</v>
      </c>
      <c r="H99" s="35" t="s">
        <v>194</v>
      </c>
      <c r="I99" s="47" t="s">
        <v>379</v>
      </c>
      <c r="J99" s="73" t="s">
        <v>265</v>
      </c>
      <c r="K99" s="73">
        <v>82.723955671106012</v>
      </c>
      <c r="L99" s="73">
        <v>59.703466881897427</v>
      </c>
      <c r="M99" s="73" t="s">
        <v>265</v>
      </c>
      <c r="N99" s="66">
        <v>1.473278354437652</v>
      </c>
      <c r="O99" s="66">
        <v>4.5849625007211561</v>
      </c>
      <c r="P99" s="66">
        <v>0.32132833239223302</v>
      </c>
      <c r="Q99" s="66">
        <v>7.895598417865328E-2</v>
      </c>
      <c r="R99" s="66">
        <v>7.4757334309663976</v>
      </c>
      <c r="S99" s="66">
        <v>1.0561637183530041E-2</v>
      </c>
      <c r="T99" s="66">
        <v>24</v>
      </c>
      <c r="U99" s="66">
        <v>178</v>
      </c>
    </row>
    <row r="100" spans="1:21" ht="21">
      <c r="A100" s="35" t="s">
        <v>134</v>
      </c>
      <c r="B100" s="35" t="s">
        <v>65</v>
      </c>
      <c r="C100" s="35" t="s">
        <v>14</v>
      </c>
      <c r="D100" s="57">
        <v>27</v>
      </c>
      <c r="E100" s="35">
        <v>10000</v>
      </c>
      <c r="F100" s="35">
        <v>10</v>
      </c>
      <c r="G100" s="35">
        <v>3</v>
      </c>
      <c r="H100" s="35" t="s">
        <v>199</v>
      </c>
      <c r="I100" s="47" t="s">
        <v>380</v>
      </c>
      <c r="J100" s="73" t="s">
        <v>266</v>
      </c>
      <c r="K100" s="73">
        <v>77.742012438525222</v>
      </c>
      <c r="L100" s="73">
        <v>127.97911667110129</v>
      </c>
      <c r="M100" s="73" t="s">
        <v>266</v>
      </c>
      <c r="N100" s="66">
        <v>2.1779923102777352</v>
      </c>
      <c r="O100" s="66">
        <v>4.2479275134435852</v>
      </c>
      <c r="P100" s="66">
        <v>0.51271880308337558</v>
      </c>
      <c r="Q100" s="66">
        <v>0.15861750257330631</v>
      </c>
      <c r="R100" s="66">
        <v>7.3309168781146168</v>
      </c>
      <c r="S100" s="66">
        <v>2.1636789123449979E-2</v>
      </c>
      <c r="T100" s="66">
        <v>19</v>
      </c>
      <c r="U100" s="66">
        <v>161</v>
      </c>
    </row>
    <row r="101" spans="1:21" ht="21">
      <c r="A101" s="35" t="s">
        <v>103</v>
      </c>
      <c r="B101" s="35" t="s">
        <v>82</v>
      </c>
      <c r="C101" s="35" t="s">
        <v>14</v>
      </c>
      <c r="D101" s="35">
        <v>47</v>
      </c>
      <c r="E101" s="35">
        <v>5000</v>
      </c>
      <c r="F101" s="35">
        <v>5</v>
      </c>
      <c r="G101" s="35">
        <v>1</v>
      </c>
      <c r="H101" s="35" t="s">
        <v>197</v>
      </c>
      <c r="I101" s="46" t="s">
        <v>333</v>
      </c>
      <c r="J101" s="73" t="s">
        <v>452</v>
      </c>
      <c r="K101" s="73">
        <v>110.1408742899055</v>
      </c>
      <c r="L101" s="73">
        <v>167.27642493216891</v>
      </c>
      <c r="M101" s="73" t="s">
        <v>452</v>
      </c>
      <c r="N101" s="66">
        <v>2.5981977352559271</v>
      </c>
      <c r="O101" s="66">
        <v>5.3219280948873626</v>
      </c>
      <c r="P101" s="66">
        <v>0.48820609540965948</v>
      </c>
      <c r="Q101" s="66">
        <v>0.26726010271375999</v>
      </c>
      <c r="R101" s="66">
        <v>8.6653359171851765</v>
      </c>
      <c r="S101" s="66">
        <v>3.084243995477743E-2</v>
      </c>
      <c r="T101" s="66">
        <v>40</v>
      </c>
      <c r="U101" s="66">
        <v>406</v>
      </c>
    </row>
    <row r="102" spans="1:21" ht="21">
      <c r="A102" s="35" t="s">
        <v>103</v>
      </c>
      <c r="B102" s="35" t="s">
        <v>82</v>
      </c>
      <c r="C102" s="35" t="s">
        <v>21</v>
      </c>
      <c r="D102" s="35">
        <v>47</v>
      </c>
      <c r="E102" s="35">
        <v>5000</v>
      </c>
      <c r="F102" s="35">
        <v>5</v>
      </c>
      <c r="G102" s="35">
        <v>2</v>
      </c>
      <c r="H102" s="35" t="s">
        <v>194</v>
      </c>
      <c r="I102" s="47" t="s">
        <v>334</v>
      </c>
      <c r="J102" s="73" t="s">
        <v>224</v>
      </c>
      <c r="K102" s="73">
        <v>158.8414173982458</v>
      </c>
      <c r="L102" s="73">
        <v>90.843188340531455</v>
      </c>
      <c r="M102" s="73" t="s">
        <v>224</v>
      </c>
      <c r="N102" s="66">
        <v>2.8704512601283181</v>
      </c>
      <c r="O102" s="66">
        <v>5.7004397181410917</v>
      </c>
      <c r="P102" s="66">
        <v>0.50354909481691168</v>
      </c>
      <c r="Q102" s="66">
        <v>0.27108661972948361</v>
      </c>
      <c r="R102" s="66">
        <v>9.1369911120802296</v>
      </c>
      <c r="S102" s="66">
        <v>2.9669134664153669E-2</v>
      </c>
      <c r="T102" s="66">
        <v>52</v>
      </c>
      <c r="U102" s="66">
        <v>563</v>
      </c>
    </row>
    <row r="103" spans="1:21" ht="21">
      <c r="A103" s="35" t="s">
        <v>103</v>
      </c>
      <c r="B103" s="35" t="s">
        <v>82</v>
      </c>
      <c r="C103" s="35" t="s">
        <v>22</v>
      </c>
      <c r="D103" s="35">
        <v>47</v>
      </c>
      <c r="E103" s="35">
        <v>5000</v>
      </c>
      <c r="F103" s="35">
        <v>5</v>
      </c>
      <c r="G103" s="35">
        <v>3</v>
      </c>
      <c r="H103" s="35" t="s">
        <v>199</v>
      </c>
      <c r="I103" s="47" t="s">
        <v>335</v>
      </c>
      <c r="J103" s="73" t="s">
        <v>247</v>
      </c>
      <c r="K103" s="73">
        <v>117.3063190917885</v>
      </c>
      <c r="L103" s="73">
        <v>84.037296231973116</v>
      </c>
      <c r="M103" s="73" t="s">
        <v>247</v>
      </c>
      <c r="N103" s="66">
        <v>2.414017726835251</v>
      </c>
      <c r="O103" s="66">
        <v>5.4918530963296748</v>
      </c>
      <c r="P103" s="66">
        <v>0.43956341957664391</v>
      </c>
      <c r="Q103" s="66">
        <v>0.25419794683688501</v>
      </c>
      <c r="R103" s="66">
        <v>8.6438561897747253</v>
      </c>
      <c r="S103" s="66">
        <v>2.940793336399895E-2</v>
      </c>
      <c r="T103" s="66">
        <v>45</v>
      </c>
      <c r="U103" s="66">
        <v>400</v>
      </c>
    </row>
    <row r="104" spans="1:21" ht="21">
      <c r="A104" s="35" t="s">
        <v>135</v>
      </c>
      <c r="B104" s="35" t="s">
        <v>65</v>
      </c>
      <c r="C104" s="35" t="s">
        <v>21</v>
      </c>
      <c r="D104" s="57">
        <v>30</v>
      </c>
      <c r="E104" s="35">
        <v>10000</v>
      </c>
      <c r="F104" s="35">
        <v>12.83</v>
      </c>
      <c r="G104" s="35">
        <v>1</v>
      </c>
      <c r="H104" s="35" t="s">
        <v>197</v>
      </c>
      <c r="I104" s="47" t="s">
        <v>381</v>
      </c>
      <c r="J104" s="73" t="s">
        <v>453</v>
      </c>
      <c r="K104" s="73">
        <v>179.17299433602921</v>
      </c>
      <c r="L104" s="73">
        <v>120.6044506960649</v>
      </c>
      <c r="M104" s="73" t="s">
        <v>453</v>
      </c>
      <c r="N104" s="66">
        <v>2.7149844521800799</v>
      </c>
      <c r="O104" s="66">
        <v>5.7004397181410917</v>
      </c>
      <c r="P104" s="66">
        <v>0.47627632014770849</v>
      </c>
      <c r="Q104" s="66">
        <v>0.1949961954728347</v>
      </c>
      <c r="R104" s="66">
        <v>8.8856963733393943</v>
      </c>
      <c r="S104" s="66">
        <v>2.194495369635862E-2</v>
      </c>
      <c r="T104" s="66">
        <v>52</v>
      </c>
      <c r="U104" s="66">
        <v>473</v>
      </c>
    </row>
    <row r="105" spans="1:21" ht="21">
      <c r="A105" s="35" t="s">
        <v>135</v>
      </c>
      <c r="B105" s="35" t="s">
        <v>65</v>
      </c>
      <c r="C105" s="35" t="s">
        <v>14</v>
      </c>
      <c r="D105" s="57">
        <v>30</v>
      </c>
      <c r="E105" s="35">
        <v>10000</v>
      </c>
      <c r="F105" s="35">
        <v>12.83</v>
      </c>
      <c r="G105" s="35">
        <v>2</v>
      </c>
      <c r="H105" s="35" t="s">
        <v>194</v>
      </c>
      <c r="I105" s="46" t="s">
        <v>382</v>
      </c>
      <c r="J105" s="73" t="s">
        <v>239</v>
      </c>
      <c r="K105" s="73">
        <v>143.9913483800641</v>
      </c>
      <c r="L105" s="73">
        <v>119.6278186426172</v>
      </c>
      <c r="M105" s="73" t="s">
        <v>239</v>
      </c>
      <c r="N105" s="66">
        <v>2.3181786139970129</v>
      </c>
      <c r="O105" s="66">
        <v>5.2094533656289501</v>
      </c>
      <c r="P105" s="66">
        <v>0.44499459948944831</v>
      </c>
      <c r="Q105" s="66">
        <v>0.1892685285991291</v>
      </c>
      <c r="R105" s="66">
        <v>8.4797802640290989</v>
      </c>
      <c r="S105" s="66">
        <v>2.2319980318593731E-2</v>
      </c>
      <c r="T105" s="66">
        <v>37</v>
      </c>
      <c r="U105" s="66">
        <v>357</v>
      </c>
    </row>
    <row r="106" spans="1:21" ht="21">
      <c r="A106" s="35" t="s">
        <v>135</v>
      </c>
      <c r="B106" s="35" t="s">
        <v>65</v>
      </c>
      <c r="C106" s="35" t="s">
        <v>22</v>
      </c>
      <c r="D106" s="57">
        <v>30</v>
      </c>
      <c r="E106" s="35">
        <v>10000</v>
      </c>
      <c r="F106" s="35">
        <v>12.83</v>
      </c>
      <c r="G106" s="35">
        <v>3</v>
      </c>
      <c r="H106" s="35" t="s">
        <v>199</v>
      </c>
      <c r="I106" s="47" t="s">
        <v>383</v>
      </c>
      <c r="J106" s="73" t="s">
        <v>260</v>
      </c>
      <c r="K106" s="73">
        <v>142.8278424543407</v>
      </c>
      <c r="L106" s="73">
        <v>98.521632433385022</v>
      </c>
      <c r="M106" s="73" t="s">
        <v>260</v>
      </c>
      <c r="N106" s="66">
        <v>1.9874807994099239</v>
      </c>
      <c r="O106" s="66">
        <v>5.4594316186372973</v>
      </c>
      <c r="P106" s="66">
        <v>0.36404536923314551</v>
      </c>
      <c r="Q106" s="66">
        <v>0.146719415587168</v>
      </c>
      <c r="R106" s="66">
        <v>8.366322214245816</v>
      </c>
      <c r="S106" s="66">
        <v>1.753690711760306E-2</v>
      </c>
      <c r="T106" s="66">
        <v>44</v>
      </c>
      <c r="U106" s="66">
        <v>330</v>
      </c>
    </row>
    <row r="107" spans="1:21" ht="21">
      <c r="A107" s="35" t="s">
        <v>128</v>
      </c>
      <c r="B107" s="35" t="s">
        <v>65</v>
      </c>
      <c r="C107" s="35" t="s">
        <v>21</v>
      </c>
      <c r="D107" s="57">
        <v>40</v>
      </c>
      <c r="E107" s="35">
        <v>10000</v>
      </c>
      <c r="F107" s="35">
        <v>23</v>
      </c>
      <c r="G107" s="35">
        <v>1</v>
      </c>
      <c r="H107" s="35" t="s">
        <v>197</v>
      </c>
      <c r="I107" s="46" t="s">
        <v>384</v>
      </c>
      <c r="J107" s="73" t="s">
        <v>454</v>
      </c>
      <c r="K107" s="73">
        <v>95.534934073867447</v>
      </c>
      <c r="L107" s="73">
        <v>66.25223590793334</v>
      </c>
      <c r="M107" s="73" t="s">
        <v>454</v>
      </c>
      <c r="N107" s="66">
        <v>1.921880664247348</v>
      </c>
      <c r="O107" s="66">
        <v>4.4594316186372973</v>
      </c>
      <c r="P107" s="66">
        <v>0.43096986984063951</v>
      </c>
      <c r="Q107" s="66">
        <v>0.13025055194764359</v>
      </c>
      <c r="R107" s="66">
        <v>7.3398500028846243</v>
      </c>
      <c r="S107" s="66">
        <v>1.774566944780261E-2</v>
      </c>
      <c r="T107" s="66">
        <v>22</v>
      </c>
      <c r="U107" s="66">
        <v>162</v>
      </c>
    </row>
    <row r="108" spans="1:21" ht="21">
      <c r="A108" s="35" t="s">
        <v>128</v>
      </c>
      <c r="B108" s="35" t="s">
        <v>65</v>
      </c>
      <c r="C108" s="35" t="s">
        <v>22</v>
      </c>
      <c r="D108" s="57">
        <v>40</v>
      </c>
      <c r="E108" s="35">
        <v>10000</v>
      </c>
      <c r="F108" s="35">
        <v>23</v>
      </c>
      <c r="G108" s="35">
        <v>2</v>
      </c>
      <c r="H108" s="35" t="s">
        <v>194</v>
      </c>
      <c r="I108" s="46" t="s">
        <v>385</v>
      </c>
      <c r="J108" s="73" t="s">
        <v>205</v>
      </c>
      <c r="K108" s="73">
        <v>85.823487266675741</v>
      </c>
      <c r="L108" s="73">
        <v>61.061864992627207</v>
      </c>
      <c r="M108" s="73" t="s">
        <v>205</v>
      </c>
      <c r="N108" s="66">
        <v>1.7711901747744589</v>
      </c>
      <c r="O108" s="66">
        <v>4.0874628412503391</v>
      </c>
      <c r="P108" s="66">
        <v>0.43332263645304692</v>
      </c>
      <c r="Q108" s="66">
        <v>0.11688885822284641</v>
      </c>
      <c r="R108" s="66">
        <v>7.294620748891627</v>
      </c>
      <c r="S108" s="66">
        <v>1.602398016930584E-2</v>
      </c>
      <c r="T108" s="66">
        <v>17</v>
      </c>
      <c r="U108" s="66">
        <v>157</v>
      </c>
    </row>
    <row r="109" spans="1:21" ht="21">
      <c r="A109" s="35" t="s">
        <v>128</v>
      </c>
      <c r="B109" s="35" t="s">
        <v>65</v>
      </c>
      <c r="C109" s="35" t="s">
        <v>14</v>
      </c>
      <c r="D109" s="57">
        <v>40</v>
      </c>
      <c r="E109" s="35">
        <v>10000</v>
      </c>
      <c r="F109" s="35">
        <v>23</v>
      </c>
      <c r="G109" s="35">
        <v>3</v>
      </c>
      <c r="H109" s="35" t="s">
        <v>199</v>
      </c>
      <c r="I109" s="47" t="s">
        <v>386</v>
      </c>
      <c r="J109" s="73" t="s">
        <v>204</v>
      </c>
      <c r="K109" s="73">
        <v>95.878755485689709</v>
      </c>
      <c r="L109" s="73">
        <v>117.1587112304365</v>
      </c>
      <c r="M109" s="73" t="s">
        <v>204</v>
      </c>
      <c r="N109" s="66">
        <v>2.0397866889762049</v>
      </c>
      <c r="O109" s="66">
        <v>4.8073549220576037</v>
      </c>
      <c r="P109" s="66">
        <v>0.42430540745328471</v>
      </c>
      <c r="Q109" s="66">
        <v>0.1372970508580014</v>
      </c>
      <c r="R109" s="66">
        <v>7.651051691178929</v>
      </c>
      <c r="S109" s="66">
        <v>1.7944859922498529E-2</v>
      </c>
      <c r="T109" s="66">
        <v>28</v>
      </c>
      <c r="U109" s="66">
        <v>201</v>
      </c>
    </row>
    <row r="110" spans="1:21" ht="21">
      <c r="A110" s="35" t="s">
        <v>69</v>
      </c>
      <c r="B110" s="35" t="s">
        <v>65</v>
      </c>
      <c r="C110" s="35" t="s">
        <v>14</v>
      </c>
      <c r="D110" s="57">
        <v>25</v>
      </c>
      <c r="E110" s="35">
        <v>12000</v>
      </c>
      <c r="F110" s="35">
        <v>3.5</v>
      </c>
      <c r="G110" s="35">
        <v>1</v>
      </c>
      <c r="H110" s="35" t="s">
        <v>197</v>
      </c>
      <c r="I110" s="46" t="s">
        <v>387</v>
      </c>
      <c r="J110" s="73" t="s">
        <v>455</v>
      </c>
      <c r="K110" s="73">
        <v>72.345858232007359</v>
      </c>
      <c r="L110" s="73">
        <v>115.4062419704308</v>
      </c>
      <c r="M110" s="73" t="s">
        <v>455</v>
      </c>
      <c r="N110" s="66">
        <v>2.523780039803432</v>
      </c>
      <c r="O110" s="66">
        <v>4.3219280948873626</v>
      </c>
      <c r="P110" s="66">
        <v>0.5839477160179839</v>
      </c>
      <c r="Q110" s="66">
        <v>0.1271874206121236</v>
      </c>
      <c r="R110" s="66">
        <v>7.3219280948873626</v>
      </c>
      <c r="S110" s="66">
        <v>1.7370755211449561E-2</v>
      </c>
      <c r="T110" s="66">
        <v>20</v>
      </c>
      <c r="U110" s="66">
        <v>160</v>
      </c>
    </row>
    <row r="111" spans="1:21" ht="21">
      <c r="A111" s="35" t="s">
        <v>69</v>
      </c>
      <c r="B111" s="35" t="s">
        <v>65</v>
      </c>
      <c r="C111" s="35" t="s">
        <v>21</v>
      </c>
      <c r="D111" s="57">
        <v>25</v>
      </c>
      <c r="E111" s="35">
        <v>12000</v>
      </c>
      <c r="F111" s="35">
        <v>3.5</v>
      </c>
      <c r="G111" s="35">
        <v>2</v>
      </c>
      <c r="H111" s="35" t="s">
        <v>194</v>
      </c>
      <c r="I111" s="47" t="s">
        <v>388</v>
      </c>
      <c r="J111" s="73" t="s">
        <v>255</v>
      </c>
      <c r="K111" s="73">
        <v>96.967146793104035</v>
      </c>
      <c r="L111" s="73">
        <v>82.826423898213946</v>
      </c>
      <c r="M111" s="73" t="s">
        <v>255</v>
      </c>
      <c r="N111" s="66">
        <v>2.6454290118903292</v>
      </c>
      <c r="O111" s="66">
        <v>5.2094533656289501</v>
      </c>
      <c r="P111" s="66">
        <v>0.50781316699068668</v>
      </c>
      <c r="Q111" s="66">
        <v>0.13631169588818959</v>
      </c>
      <c r="R111" s="66">
        <v>8.3309168781146177</v>
      </c>
      <c r="S111" s="66">
        <v>1.6362148114366801E-2</v>
      </c>
      <c r="T111" s="66">
        <v>37</v>
      </c>
      <c r="U111" s="66">
        <v>322</v>
      </c>
    </row>
    <row r="112" spans="1:21" ht="21">
      <c r="A112" s="35" t="s">
        <v>69</v>
      </c>
      <c r="B112" s="35" t="s">
        <v>65</v>
      </c>
      <c r="C112" s="35" t="s">
        <v>22</v>
      </c>
      <c r="D112" s="57">
        <v>25</v>
      </c>
      <c r="E112" s="35">
        <v>12000</v>
      </c>
      <c r="F112" s="35">
        <v>3.5</v>
      </c>
      <c r="G112" s="35">
        <v>3</v>
      </c>
      <c r="H112" s="35" t="s">
        <v>199</v>
      </c>
      <c r="I112" s="47" t="s">
        <v>389</v>
      </c>
      <c r="J112" s="73" t="s">
        <v>201</v>
      </c>
      <c r="K112" s="73">
        <v>102.3774872882251</v>
      </c>
      <c r="L112" s="73">
        <v>89.619604467289179</v>
      </c>
      <c r="M112" s="73" t="s">
        <v>201</v>
      </c>
      <c r="N112" s="66">
        <v>2.5785743574866551</v>
      </c>
      <c r="O112" s="66">
        <v>5.3923174227787607</v>
      </c>
      <c r="P112" s="66">
        <v>0.47819409639981242</v>
      </c>
      <c r="Q112" s="66">
        <v>0.15369392190392631</v>
      </c>
      <c r="R112" s="66">
        <v>8.4594316186372964</v>
      </c>
      <c r="S112" s="66">
        <v>1.8168350881318941E-2</v>
      </c>
      <c r="T112" s="66">
        <v>42</v>
      </c>
      <c r="U112" s="66">
        <v>352</v>
      </c>
    </row>
    <row r="113" spans="1:21" ht="21">
      <c r="A113" s="35" t="s">
        <v>162</v>
      </c>
      <c r="B113" s="35" t="s">
        <v>65</v>
      </c>
      <c r="C113" s="35" t="s">
        <v>22</v>
      </c>
      <c r="D113" s="57">
        <v>22</v>
      </c>
      <c r="E113" s="35">
        <v>12000</v>
      </c>
      <c r="F113" s="35">
        <v>3</v>
      </c>
      <c r="G113" s="35">
        <v>1</v>
      </c>
      <c r="H113" s="35" t="s">
        <v>197</v>
      </c>
      <c r="I113" s="46" t="s">
        <v>390</v>
      </c>
      <c r="J113" s="73" t="s">
        <v>456</v>
      </c>
      <c r="K113" s="73">
        <v>118.1979903942665</v>
      </c>
      <c r="L113" s="73">
        <v>109.18290966271491</v>
      </c>
      <c r="M113" s="73" t="s">
        <v>456</v>
      </c>
      <c r="N113" s="66">
        <v>2.9062654432116881</v>
      </c>
      <c r="O113" s="66">
        <v>5.5235619560570131</v>
      </c>
      <c r="P113" s="66">
        <v>0.52615784277113853</v>
      </c>
      <c r="Q113" s="66">
        <v>0.17943150875091579</v>
      </c>
      <c r="R113" s="66">
        <v>8.9829935746943104</v>
      </c>
      <c r="S113" s="66">
        <v>1.9974578325023671E-2</v>
      </c>
      <c r="T113" s="66">
        <v>46</v>
      </c>
      <c r="U113" s="66">
        <v>506</v>
      </c>
    </row>
    <row r="114" spans="1:21" ht="21">
      <c r="A114" s="35" t="s">
        <v>162</v>
      </c>
      <c r="B114" s="35" t="s">
        <v>65</v>
      </c>
      <c r="C114" s="35" t="s">
        <v>14</v>
      </c>
      <c r="D114" s="57">
        <v>22</v>
      </c>
      <c r="E114" s="35">
        <v>12000</v>
      </c>
      <c r="F114" s="35">
        <v>3</v>
      </c>
      <c r="G114" s="35">
        <v>2</v>
      </c>
      <c r="H114" s="35" t="s">
        <v>194</v>
      </c>
      <c r="I114" s="47" t="s">
        <v>391</v>
      </c>
      <c r="J114" s="73" t="s">
        <v>212</v>
      </c>
      <c r="K114" s="73">
        <v>137.698802876505</v>
      </c>
      <c r="L114" s="73">
        <v>151.1792926144565</v>
      </c>
      <c r="M114" s="73" t="s">
        <v>212</v>
      </c>
      <c r="N114" s="66">
        <v>3.3273154685178441</v>
      </c>
      <c r="O114" s="66">
        <v>5.6147098441152083</v>
      </c>
      <c r="P114" s="66">
        <v>0.59260684183087597</v>
      </c>
      <c r="Q114" s="66">
        <v>0.26004017063975832</v>
      </c>
      <c r="R114" s="66">
        <v>9.1598713367783891</v>
      </c>
      <c r="S114" s="66">
        <v>2.838906367556215E-2</v>
      </c>
      <c r="T114" s="66">
        <v>49</v>
      </c>
      <c r="U114" s="66">
        <v>572</v>
      </c>
    </row>
    <row r="115" spans="1:21" ht="21">
      <c r="A115" s="35" t="s">
        <v>162</v>
      </c>
      <c r="B115" s="35" t="s">
        <v>65</v>
      </c>
      <c r="C115" s="35" t="s">
        <v>21</v>
      </c>
      <c r="D115" s="57">
        <v>22</v>
      </c>
      <c r="E115" s="35">
        <v>12000</v>
      </c>
      <c r="F115" s="35">
        <v>3</v>
      </c>
      <c r="G115" s="35">
        <v>3</v>
      </c>
      <c r="H115" s="35" t="s">
        <v>199</v>
      </c>
      <c r="I115" s="46" t="s">
        <v>392</v>
      </c>
      <c r="J115" s="73" t="s">
        <v>211</v>
      </c>
      <c r="K115" s="73">
        <v>153.59469131744879</v>
      </c>
      <c r="L115" s="73">
        <v>132.67748145027821</v>
      </c>
      <c r="M115" s="73" t="s">
        <v>211</v>
      </c>
      <c r="N115" s="66">
        <v>3.4512828569390139</v>
      </c>
      <c r="O115" s="66">
        <v>5.8579809951275719</v>
      </c>
      <c r="P115" s="66">
        <v>0.58915910785809134</v>
      </c>
      <c r="Q115" s="66">
        <v>0.19621144672454749</v>
      </c>
      <c r="R115" s="66">
        <v>9.0794847838268158</v>
      </c>
      <c r="S115" s="66">
        <v>2.1610416383323509E-2</v>
      </c>
      <c r="T115" s="66">
        <v>58</v>
      </c>
      <c r="U115" s="66">
        <v>541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Demographic</vt:lpstr>
      <vt:lpstr>Sleepiness</vt:lpstr>
      <vt:lpstr>KSS</vt:lpstr>
      <vt:lpstr>Drivingbehaviors</vt:lpstr>
      <vt:lpstr>Eyemovement_Events</vt:lpstr>
      <vt:lpstr>Eyemovement_Whole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2025-02-17T12:46:37Z</dcterms:created>
  <dcterms:modified xsi:type="dcterms:W3CDTF">2025-12-05T09:24:49Z</dcterms:modified>
</cp:coreProperties>
</file>